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7325dca92ed8f7/Desktop/Time and More/BRANDS/Roamer/Ranges/AW25/October 25/"/>
    </mc:Choice>
  </mc:AlternateContent>
  <xr:revisionPtr revIDLastSave="0" documentId="8_{ED2C0246-D4D5-4226-8D7F-8355DA65C2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2" r:id="rId1"/>
  </sheets>
  <definedNames>
    <definedName name="_xlnm._FilterDatabase" localSheetId="0" hidden="1">'Price List'!$A$8:$D$8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72" i="2" l="1"/>
  <c r="D168" i="2"/>
  <c r="D166" i="2"/>
  <c r="D11" i="2" l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7" i="2"/>
  <c r="D169" i="2"/>
  <c r="D170" i="2"/>
  <c r="D171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 l="1"/>
  <c r="D9" i="2" l="1"/>
  <c r="D10" i="2"/>
</calcChain>
</file>

<file path=xl/sharedStrings.xml><?xml version="1.0" encoding="utf-8"?>
<sst xmlns="http://schemas.openxmlformats.org/spreadsheetml/2006/main" count="377" uniqueCount="377">
  <si>
    <t>Style</t>
  </si>
  <si>
    <t>Family</t>
  </si>
  <si>
    <t>Time and More UK Ltd</t>
  </si>
  <si>
    <t>T: 07917 364582</t>
  </si>
  <si>
    <t>Cost</t>
  </si>
  <si>
    <t>512833 47 35 20</t>
  </si>
  <si>
    <t>512857 41 45 20</t>
  </si>
  <si>
    <t>512857 41 75 20</t>
  </si>
  <si>
    <t>Slim-Line Classic Silver Dial Gold IP Bi-Colour Bracelet</t>
  </si>
  <si>
    <t>Slim-Line Classic Ladies Blue Dial Steel Bracelet</t>
  </si>
  <si>
    <t>Slim-Line Classic Ladies Green Dial Steel Bracelet</t>
  </si>
  <si>
    <t>Searock Automatic Green Dial Steel Bracelet</t>
  </si>
  <si>
    <t>512833 41 45 20</t>
  </si>
  <si>
    <t>512833 41 55 20</t>
  </si>
  <si>
    <t>512833 41 75 20</t>
  </si>
  <si>
    <t>Slim-Line Classic Black Dial Steel Bracelet</t>
  </si>
  <si>
    <t>Slim-Line Classic Blue Dial Steel Bracelet</t>
  </si>
  <si>
    <t>Slim-Line Classic Green Dial Steel Bracelet</t>
  </si>
  <si>
    <t>R-Line Classic Blue Dial Steel Bracelet</t>
  </si>
  <si>
    <t>R-Line Classic Black Dial Steel Bracelet</t>
  </si>
  <si>
    <t>718833 41 45 70</t>
  </si>
  <si>
    <t>718833 41 55 70</t>
  </si>
  <si>
    <t>512857 49 15 20</t>
  </si>
  <si>
    <t>Slim-Line Classic Ladies Silver Dial Rose Gold Bi Colour Bracelet</t>
  </si>
  <si>
    <t>601857 41 89 20</t>
  </si>
  <si>
    <t>601857 47 89 20</t>
  </si>
  <si>
    <t>601857 48 89 20</t>
  </si>
  <si>
    <t>601857 49 89 20</t>
  </si>
  <si>
    <t>Venus White MOP Diamond Dial Steel Bracelet</t>
  </si>
  <si>
    <t>Venus White MOP Diamond Dial Yellow Gold Bicolour Bracelet</t>
  </si>
  <si>
    <t>Venus White MOP Diamond Dial Yellow Gold Bracelet</t>
  </si>
  <si>
    <t>Venus White MOP Diamond Dial Rose Gold Bicolour Bracelet</t>
  </si>
  <si>
    <t>Unit C3A, Freemans Building, Crown Park, Crown Way, Rushden, NN10 6BS</t>
  </si>
  <si>
    <t>210665 41 45 20</t>
  </si>
  <si>
    <t>210665 41 55 20</t>
  </si>
  <si>
    <t>860833 41 15 70</t>
  </si>
  <si>
    <t>860833 41 45 70</t>
  </si>
  <si>
    <t>860833 41 55 70</t>
  </si>
  <si>
    <t>860833 47 45 70</t>
  </si>
  <si>
    <t>Searock Automatic Blue Sunray Dial Steel</t>
  </si>
  <si>
    <t>Searock Automatic Black Pattern Dial Steel</t>
  </si>
  <si>
    <t>Deep Sea 200 Silver Dial Steel</t>
  </si>
  <si>
    <t>Deep Sea 200 Blue Dial Steel</t>
  </si>
  <si>
    <t>Deep Sea 200 Black Dial Steel</t>
  </si>
  <si>
    <t>220858 41 45 50</t>
  </si>
  <si>
    <t>220858 41 75 50</t>
  </si>
  <si>
    <t>220858 41 85 50</t>
  </si>
  <si>
    <t>Rockshell Mark III Scuba Blue Dial Steel Bracelet</t>
  </si>
  <si>
    <t>Rockshell Mark III Scuba Green Dial Steel Bracelet</t>
  </si>
  <si>
    <t>Rockshell Mark III Scuba Black Dial Steel Bracelet</t>
  </si>
  <si>
    <t>210665 41 75 20</t>
  </si>
  <si>
    <t>867833 41 45 02</t>
  </si>
  <si>
    <t>867833 41 55 02</t>
  </si>
  <si>
    <t>867833 41 75 02</t>
  </si>
  <si>
    <t>867833 41 85 02</t>
  </si>
  <si>
    <t>Rockshell Mark III Scuba Blue Dial Blue Silicone Strap</t>
  </si>
  <si>
    <t>Rockshell Mark III Scuba Grey Dial Blue Silicone Strap</t>
  </si>
  <si>
    <t>Rockshell Mark III Scuba Green Dial Black Silicone Strap</t>
  </si>
  <si>
    <t>Rockshell Mark III Scuba Black Dial Black Silicone Strap</t>
  </si>
  <si>
    <t>866845 41 55 20</t>
  </si>
  <si>
    <t>866845 48 35 20</t>
  </si>
  <si>
    <t>866845 48 55 20</t>
  </si>
  <si>
    <t>Elegance Diamond Black Dial Steel Bangle</t>
  </si>
  <si>
    <t>Elegance Diamond Champagne Dial Gold IP Bangle</t>
  </si>
  <si>
    <t>Elegance Diamond Black Dial Gold IP Bangle</t>
  </si>
  <si>
    <t>986983 41 45 20</t>
  </si>
  <si>
    <t>986983 41 75 20</t>
  </si>
  <si>
    <t>986983 41 85 20</t>
  </si>
  <si>
    <t>Premier Blue Dial Pepsi Bezel Automatic</t>
  </si>
  <si>
    <t>Premier Green Dial Automatic</t>
  </si>
  <si>
    <t>Premier Black Dial Automatic</t>
  </si>
  <si>
    <t>RRP</t>
  </si>
  <si>
    <t>101984 41 45 05</t>
  </si>
  <si>
    <t>101984 41 45 10</t>
  </si>
  <si>
    <t>101984 41 85 05</t>
  </si>
  <si>
    <t>101984 47 85 10</t>
  </si>
  <si>
    <t>984985 41 45 20</t>
  </si>
  <si>
    <t>984985 41 75 20</t>
  </si>
  <si>
    <t>984985 47 35 20</t>
  </si>
  <si>
    <t>Searock Master Blue Dial Steel Bracelet</t>
  </si>
  <si>
    <t>Searock Master Green Dial Steel Bracelet</t>
  </si>
  <si>
    <t>Searock Master Champagne Dial Gold Bi-Colour Bracelet</t>
  </si>
  <si>
    <t>Competence Skeleton IV Blue Dial Blue Strap</t>
  </si>
  <si>
    <t>Competence Skeleton IV Blue Dial Steel Bracelet</t>
  </si>
  <si>
    <t>Competence Skeleton IV Black Dial Black Strap</t>
  </si>
  <si>
    <t>Competence Skeleton IV Black Dial Gold Bi-Colour Bracelet</t>
  </si>
  <si>
    <t>210665 41 05 20</t>
  </si>
  <si>
    <t>Searock Automatic Marine Blue Dial Steel</t>
  </si>
  <si>
    <t>860833 41 05 70</t>
  </si>
  <si>
    <t>Deep Sea 200 Marine Blue Dial Steel</t>
  </si>
  <si>
    <t>718833 41 05 20</t>
  </si>
  <si>
    <t>R-Line Classic Marine Dial Dial Steel Bracelet</t>
  </si>
  <si>
    <t>512857 41 05 20</t>
  </si>
  <si>
    <t>Slim-Line Classic Ladies Marine Blue Dial Steel Bracelet</t>
  </si>
  <si>
    <t>985986 41 45 20</t>
  </si>
  <si>
    <t>985986 41 85 20</t>
  </si>
  <si>
    <t>Mechano MST Movement Black Skeleton Dial Steel Boxed set</t>
  </si>
  <si>
    <t>Mechano MST Movement Blue Skeleton Dial Steel Boxed Set</t>
  </si>
  <si>
    <t>860833 41 75 71</t>
  </si>
  <si>
    <t>Deep Sea 200 Green Dial Steel</t>
  </si>
  <si>
    <t>993819 41 45 20</t>
  </si>
  <si>
    <t>993819 41 75 20</t>
  </si>
  <si>
    <t>993819 41 85 20</t>
  </si>
  <si>
    <t>993819 47 45 20</t>
  </si>
  <si>
    <t>993819 47 75 20</t>
  </si>
  <si>
    <t>993819 48 85 20</t>
  </si>
  <si>
    <t>Pro Chrono Blue Dial Steel Bracelet</t>
  </si>
  <si>
    <t>Pro Chrono Green Dial Steel Bracelet</t>
  </si>
  <si>
    <t>Pro Chrono Black Dial Steel Bracelet</t>
  </si>
  <si>
    <t>Pro Chrono Blue Dial Rose Gold Bicolour Bracelet</t>
  </si>
  <si>
    <t>Pro Chrono Green Dial Gold Bicolour Bracelet</t>
  </si>
  <si>
    <t>Pro Chrono Black Dial Gold Bracelet</t>
  </si>
  <si>
    <t>988833 41 45 05</t>
  </si>
  <si>
    <t>988833 41 55 05</t>
  </si>
  <si>
    <t>988833 41 75 05</t>
  </si>
  <si>
    <t>Valais Gents Blue Dial Blue Strap Boxed Set with Mesh Bracelet</t>
  </si>
  <si>
    <t>Valais Gents Grey Dial Grey Strap Boxed Set with Mesh Bracelet</t>
  </si>
  <si>
    <t>Valais Gents Green Dial Black Strap Boxed Set with Mesh Bracelet</t>
  </si>
  <si>
    <t>989847 41 10 05</t>
  </si>
  <si>
    <t>989847 41 70 05</t>
  </si>
  <si>
    <t>989847 46 60 05</t>
  </si>
  <si>
    <t>989847 48 10 05</t>
  </si>
  <si>
    <t>Valais Ladies Pink MOP Dial Black Strap Boxed Set with Mesh Bracelet</t>
  </si>
  <si>
    <t>Valais Ladies Green MOP Dial Black Strap Boxed Set with Mesh Bracelet</t>
  </si>
  <si>
    <t>Valais Ladies Red MOP Dial Red Strap Boxed Set with Mesh Rose Gold Bracelet</t>
  </si>
  <si>
    <t>Valais Ladies Pink MOP Dial Brown Strap Boxed Set with Mesh Gold Bracelet</t>
  </si>
  <si>
    <t>Deep Sea 200 Blue Dial Yellow Gold Bicolour</t>
  </si>
  <si>
    <t>996983 41 45 20</t>
  </si>
  <si>
    <t>996983 41 55 20</t>
  </si>
  <si>
    <t>996983 41 75 20</t>
  </si>
  <si>
    <t>996983 46 85 20</t>
  </si>
  <si>
    <t>996983 47 15 20</t>
  </si>
  <si>
    <t>996983 47 75 20</t>
  </si>
  <si>
    <t>986983 47 85 21</t>
  </si>
  <si>
    <t>986983 48 85 21</t>
  </si>
  <si>
    <t>Premier Black Dial Black Bezel Gold Bicolour</t>
  </si>
  <si>
    <t>Premier Black Dial Black Bezel Gold IP Automatic</t>
  </si>
  <si>
    <t>220858 47 85 50</t>
  </si>
  <si>
    <t>Rockshell Mark III Scuba Black Dial Yellow Gold Bicolour Bracelet</t>
  </si>
  <si>
    <t>601857 47 59 20</t>
  </si>
  <si>
    <t>Venus Green MOP Diamond Dial Yellow Gold Bicolour Bracelet</t>
  </si>
  <si>
    <t>996990 41 20 20</t>
  </si>
  <si>
    <t>996990 48 30 20</t>
  </si>
  <si>
    <t>996990 49 20 20</t>
  </si>
  <si>
    <t>982847 41 05 20</t>
  </si>
  <si>
    <t>982847 41 75 20</t>
  </si>
  <si>
    <t>982847 47 20 20</t>
  </si>
  <si>
    <t>977847 41 20 20</t>
  </si>
  <si>
    <t>977847 47 20 20</t>
  </si>
  <si>
    <t>977847 47 70 20</t>
  </si>
  <si>
    <t>977847 48 20 20</t>
  </si>
  <si>
    <t>978818 41 45 20</t>
  </si>
  <si>
    <t>978818 41 75 20</t>
  </si>
  <si>
    <t>978818 41 85 20</t>
  </si>
  <si>
    <t>EOS Classic Green Dial Steel Bracelet</t>
  </si>
  <si>
    <t>EOS ClassicWhite MOP Dial Gold Bicolour Bracelet</t>
  </si>
  <si>
    <t>EOS Classic Blue Dial Steel Bracelet</t>
  </si>
  <si>
    <t>Gran Sportivo Blue Dial Boxed set</t>
  </si>
  <si>
    <t>Gran Sportivo Green Dial Boxed Set</t>
  </si>
  <si>
    <t>Gran Sportivo Black Dial Boxed set</t>
  </si>
  <si>
    <t>Montalbano Ladies Champagne MOP Dial Gold IP Bracelet Steel Bracelet</t>
  </si>
  <si>
    <t>Montalbano Ladies White MOP Dial Steel Bracelet</t>
  </si>
  <si>
    <t>Montalbano Ladies White MOP Dial Rose Gold IP Bicolour Bracelet</t>
  </si>
  <si>
    <t>Montalbano Ladies Green MOP Dial Gold IP Bicolour Bracelet</t>
  </si>
  <si>
    <t>996990 47 70 20</t>
  </si>
  <si>
    <t>Allegra White MOP Dial Steel Bracelet</t>
  </si>
  <si>
    <t>Allegra White MOP Dial Gold Bracelet</t>
  </si>
  <si>
    <t>Allegra Green MOP Dial Gold IP Bicolour Bracelet</t>
  </si>
  <si>
    <t>Allegra White MOP Dial Gold IP Bicolour Bracelet</t>
  </si>
  <si>
    <t>Montalbano Gents Blue Dial Steel Bracelet</t>
  </si>
  <si>
    <t>Montalbano GentsGreen Dial Steel Bracelet</t>
  </si>
  <si>
    <t>Montalbano Gents Black Dial Steel Bracelet</t>
  </si>
  <si>
    <t>Montalbano Gents Black Dial Gold IP Bracelet</t>
  </si>
  <si>
    <t>Montalbano Gents Silver Dial Gold IP Bicolour Bracelet</t>
  </si>
  <si>
    <t>Montalbano Gents Green Dial Gold IP Bicolour Bracelet</t>
  </si>
  <si>
    <t>718833 41 75 20</t>
  </si>
  <si>
    <t>R-Line Classic Green Dial Steel Bracelet</t>
  </si>
  <si>
    <t>512833 41 05 20</t>
  </si>
  <si>
    <t>Slimline Classic Tiffany Blue Dial Steel Bracelet</t>
  </si>
  <si>
    <t>718833 41 65 70</t>
  </si>
  <si>
    <t>R-Line Classic Burgundy Dial Steel Bracelet</t>
  </si>
  <si>
    <t>993819 41 45 02</t>
  </si>
  <si>
    <t>993819 41 65 02</t>
  </si>
  <si>
    <t>993819 41 75 02</t>
  </si>
  <si>
    <t>993819 48 85 02</t>
  </si>
  <si>
    <t>Pro Chrono Blue Dial Blue Leather Strap</t>
  </si>
  <si>
    <t>Pro Chrono Green Dial Black Leather Strap</t>
  </si>
  <si>
    <t>Pro Chrono Burgundy Dial Black Leather Strap</t>
  </si>
  <si>
    <t>Pro Chrono Black Dial Gold IP Black Leather Strap</t>
  </si>
  <si>
    <t>970983 41 05 20</t>
  </si>
  <si>
    <t>970983 41 45 20</t>
  </si>
  <si>
    <t>970983 41 75 20</t>
  </si>
  <si>
    <t>970983 47 85 20</t>
  </si>
  <si>
    <t>Elite Boxed Set Silver Dial Steel with Additional Brown Strap</t>
  </si>
  <si>
    <t>Elite Boxed Set Blue Dial Steel with Additional Black Strap</t>
  </si>
  <si>
    <t>Elite Boxed Set Green Dial Steel with Additional Black Strap</t>
  </si>
  <si>
    <t>Elite Boxed Set Black Dial Two Tone Steel with Additional Black Strap</t>
  </si>
  <si>
    <t>973981 44 85 20</t>
  </si>
  <si>
    <t>973981 44 15 20</t>
  </si>
  <si>
    <t>973981 44 45 20</t>
  </si>
  <si>
    <t>Helios Titanium Blue Dial Solar Powerd Chronograph</t>
  </si>
  <si>
    <t>Helios Titanium Silver Dial Solar Powerd Chronograph</t>
  </si>
  <si>
    <t>Helios Titanium Black Dial Solar Powerd Chronograph</t>
  </si>
  <si>
    <t>971856 41 25 05</t>
  </si>
  <si>
    <t>971856 48 25 05</t>
  </si>
  <si>
    <t>971856 41 45 05</t>
  </si>
  <si>
    <t>971856 41 75 05</t>
  </si>
  <si>
    <t>971856 48 55 05</t>
  </si>
  <si>
    <t>971857 41 45 05</t>
  </si>
  <si>
    <t>971857 41 75 05</t>
  </si>
  <si>
    <t>971857 48 55 05</t>
  </si>
  <si>
    <t>971857 48 25 05</t>
  </si>
  <si>
    <t>971857 41 25 05</t>
  </si>
  <si>
    <t>Classico Gents White Roman Steel Black Strap</t>
  </si>
  <si>
    <t>Classico Gents White Roman Gold IP Brown Strap</t>
  </si>
  <si>
    <t>Classico Gents Blue Dial Steel Blue Strap</t>
  </si>
  <si>
    <t>Classico Gents Green Dial Steel Brown Strap</t>
  </si>
  <si>
    <t>Classico Gents Grey Dial Gold IP Brown Strap</t>
  </si>
  <si>
    <t>Classico Ladies White Roman Steel Black Strap</t>
  </si>
  <si>
    <t>Classico Ladies White Roman Gold IP Brown Strap</t>
  </si>
  <si>
    <t>Classico Ladies Blue Dial Steel Blue Strap</t>
  </si>
  <si>
    <t>Classico Ladies Green Dial Steel Brown Strap</t>
  </si>
  <si>
    <t>Classico Ladies Grey Dial Gold IP Brown Strap</t>
  </si>
  <si>
    <t>976830 41 20 50</t>
  </si>
  <si>
    <t>976830 47 20 50</t>
  </si>
  <si>
    <t>Scala MOP Dial Steel Crystal Bezel</t>
  </si>
  <si>
    <t>Scala MOP Dial Two Tone Steel Crystal Bezel</t>
  </si>
  <si>
    <t>SS25 Price List</t>
  </si>
  <si>
    <t>981666 47 85 20</t>
  </si>
  <si>
    <t>Primeline Daydate II Black Pattern Dial Yellow Gold Bicolour</t>
  </si>
  <si>
    <t>101984 41 85 10</t>
  </si>
  <si>
    <t>Competence Skeleton IV Black Dial Steel Bracelet</t>
  </si>
  <si>
    <t>986983 41 45 21</t>
  </si>
  <si>
    <t>Premier Blue Dial Steel Automatic</t>
  </si>
  <si>
    <t>718833 48 75 70</t>
  </si>
  <si>
    <t>R-Line Classic Green Dial Gold Bi-Colour Bracelet</t>
  </si>
  <si>
    <t>976830 49 20 50</t>
  </si>
  <si>
    <t>976830 49 80 50</t>
  </si>
  <si>
    <t>976830 47 70 50</t>
  </si>
  <si>
    <t>Scala MOP Dial Rose Gold Two Tone Steel Crystal Bezel</t>
  </si>
  <si>
    <t>Scala Black MOP Dial Rose Gold Two Tone Steel Crystal Bezel</t>
  </si>
  <si>
    <t>Scala Green MOP Dial Two Tone Steel Crystal Bezel</t>
  </si>
  <si>
    <t>601857 47 40 20</t>
  </si>
  <si>
    <t>Venus Blue MOP Diamond Dial Yellow Gold Bicolour Bracelet</t>
  </si>
  <si>
    <t>601857 41 80 20</t>
  </si>
  <si>
    <t>Venus Black MOP Diamond Dial Steel Bracelet</t>
  </si>
  <si>
    <t>969845 41 45 20</t>
  </si>
  <si>
    <t>969845 41 75 20</t>
  </si>
  <si>
    <t>969845 41 85 20</t>
  </si>
  <si>
    <t>969845 41 95 20</t>
  </si>
  <si>
    <t>Pro Diver Blue Dial Steel Ultra Long Lasting 10 year battery</t>
  </si>
  <si>
    <t>Pro Diver Green Dial Steel Ultra Long Lasting 10 year battery</t>
  </si>
  <si>
    <t>Pro Diver Black Dial Steel Ultra Long Lasting 10 year battery</t>
  </si>
  <si>
    <t>Pro Diver Orange Dial Steel Ultra Long Lasting 10 year battery</t>
  </si>
  <si>
    <t>972980 41 05 20</t>
  </si>
  <si>
    <t>972980 41 45 20</t>
  </si>
  <si>
    <t>972980 41 85 20</t>
  </si>
  <si>
    <t>R8 Gents Light Blue Dial Steel Bracelet</t>
  </si>
  <si>
    <t>R8 Gents Blue Dial Steel Bracelet</t>
  </si>
  <si>
    <t>R8 Gents Black Dial Steel Bracelet</t>
  </si>
  <si>
    <t>971856 41 45 50</t>
  </si>
  <si>
    <t>971856 41 75 50</t>
  </si>
  <si>
    <t>971856 49 55 50</t>
  </si>
  <si>
    <t>971856 48 55 50</t>
  </si>
  <si>
    <t>971856 41 25 50</t>
  </si>
  <si>
    <t>971856 48 25 50</t>
  </si>
  <si>
    <t>971856 49 25 50</t>
  </si>
  <si>
    <t>Classico Gents Blue Dial Steel Bracelet</t>
  </si>
  <si>
    <t>Classico Gents Green Dial Steel Bracelet</t>
  </si>
  <si>
    <t>Classico Gents Grey Dial Rose Gold Two Tone Steel Bracelet</t>
  </si>
  <si>
    <t>Classico Gents Silver Dial Gold Two Tone Steel Bracelet</t>
  </si>
  <si>
    <t>Classico Gents White Roman Dial Steel Bracelet</t>
  </si>
  <si>
    <t>Classico Gents White Roman Dial Gold Two Tone Steel Bracelet</t>
  </si>
  <si>
    <t>Classico Gents White Roman Dial Rose Gold Two Tone Steel Bracelet</t>
  </si>
  <si>
    <t>971857 41 45 50</t>
  </si>
  <si>
    <t>971857 41 75 50</t>
  </si>
  <si>
    <t>971857 49 55 50</t>
  </si>
  <si>
    <t>971857 48 55 50</t>
  </si>
  <si>
    <t>971857 41 25 50</t>
  </si>
  <si>
    <t>971857 48 25 50</t>
  </si>
  <si>
    <t>971857 49 25 50</t>
  </si>
  <si>
    <t>Classico Ladies Blue Dial Steel Bracelet</t>
  </si>
  <si>
    <t>Classico Ladies Green Dial Steel Bracelet</t>
  </si>
  <si>
    <t>Classico Ladies Grey Dial Rose Gold Two Tone Steel Bracelet</t>
  </si>
  <si>
    <t>Classico Ladies Silver Dial Gold Two Tone Steel Bracelet</t>
  </si>
  <si>
    <t>Classico Ladies White Roman Dial Steel Bracelet</t>
  </si>
  <si>
    <t>Classico Ladies White Roman Dial Gold Two Tone Steel Bracelet</t>
  </si>
  <si>
    <t>Classico Ladies White Roman Dial Rose Gold Two Tone Steel Bracelet</t>
  </si>
  <si>
    <t>972857 41 05 20</t>
  </si>
  <si>
    <t>972857 41 45 20</t>
  </si>
  <si>
    <t>972857 41 85 20</t>
  </si>
  <si>
    <t>R8 Ladies Light Blue Dial Steel Bracelet</t>
  </si>
  <si>
    <t>R8 Ladies Blue Dial Steel Bracelet</t>
  </si>
  <si>
    <t>R8 Ladies Black Dial Steel Bracelet</t>
  </si>
  <si>
    <t>860844 41 20 20</t>
  </si>
  <si>
    <t>860844 41 45 20</t>
  </si>
  <si>
    <t>860844 41 75 20</t>
  </si>
  <si>
    <t>860844 41 85 20</t>
  </si>
  <si>
    <t>860844 47 20 20</t>
  </si>
  <si>
    <t>Deep Sea Ladies White MOP Dial Steel Bracelet</t>
  </si>
  <si>
    <t>Deep Sea Ladies Blue MOP Dial Steel Bracelet</t>
  </si>
  <si>
    <t>Deep Sea Ladies Green MOP Dial Steel Bracelet</t>
  </si>
  <si>
    <t>Deep Sea Ladies Black MOP Dial Steel Bracelet</t>
  </si>
  <si>
    <t>Deep Sea Ladies White MOP Dial Gold Two toneSteel Bracelet</t>
  </si>
  <si>
    <t>974847 41 20 20</t>
  </si>
  <si>
    <t>974847 47 20 20</t>
  </si>
  <si>
    <t>974847 49 20 20</t>
  </si>
  <si>
    <t>Eleganza Ladies White MOP Gold Two Tone Steel Bracelet</t>
  </si>
  <si>
    <t>Eleganza Ladies White MOP Rose Gold Two Tone Steel Bracelet</t>
  </si>
  <si>
    <t>Eleganza Ladies Black MOP Steel Bracelet</t>
  </si>
  <si>
    <t>Deep Sea 200 Automatic Light Blue Dial Steel</t>
  </si>
  <si>
    <t>Deep Sea 200 Automatic Blue Dial Steel</t>
  </si>
  <si>
    <t>Deep Sea 200 Automatic Black Dial Steel</t>
  </si>
  <si>
    <t>Deep Sea 200 Automatic Green Dial Steel</t>
  </si>
  <si>
    <t>860983 41 05 70</t>
  </si>
  <si>
    <t>860983 41 45 70</t>
  </si>
  <si>
    <t>860983 41 55 70</t>
  </si>
  <si>
    <t>860983 41 75 70</t>
  </si>
  <si>
    <t>965985 41 45 20</t>
  </si>
  <si>
    <t>965985 41 75 20</t>
  </si>
  <si>
    <t>965985 41 85 20</t>
  </si>
  <si>
    <t>965985 47 85 20</t>
  </si>
  <si>
    <t>Pro Auto Skeleton Blue Dial Steel</t>
  </si>
  <si>
    <t>Pro Auto Skeleton Green Dial Steel</t>
  </si>
  <si>
    <t>Pro Auto Skeleton Black Dial Steel</t>
  </si>
  <si>
    <t>Pro Auto Skeleton Black Dial Gold Bi-Colour Steel</t>
  </si>
  <si>
    <t>968988 41 65 20</t>
  </si>
  <si>
    <t>968988 41 85 20</t>
  </si>
  <si>
    <t>968988 44 45 20</t>
  </si>
  <si>
    <t>968988 47 45 20</t>
  </si>
  <si>
    <t>Mercury Chrono Burgundy Dial Steel</t>
  </si>
  <si>
    <t>Mercury Chrono Black Dial Steel</t>
  </si>
  <si>
    <t>Mercury ChronoBlue Dial Black IP</t>
  </si>
  <si>
    <t>Mercury ChronoBlue Dial steel with Gold Accents</t>
  </si>
  <si>
    <t>627845 41 19 20</t>
  </si>
  <si>
    <t>627845 47 19 20</t>
  </si>
  <si>
    <t>627845 48 39 20</t>
  </si>
  <si>
    <t>627845 49 19 20</t>
  </si>
  <si>
    <t>Olivia Diamond Silver Dial Steel</t>
  </si>
  <si>
    <t>Olivia Diamond Silver Dial Gold Two Tone Steel</t>
  </si>
  <si>
    <t>Olivia Diamond Silver Dial Rose Gold Two Tone Steel</t>
  </si>
  <si>
    <t>Olivia Diamond Silver Dial Gold IP Steel</t>
  </si>
  <si>
    <t>626847 41 89 20</t>
  </si>
  <si>
    <t>626847 47 39 20</t>
  </si>
  <si>
    <t>626847 47 59 20</t>
  </si>
  <si>
    <t>626847 48 89 20</t>
  </si>
  <si>
    <t>626847 49 89 20</t>
  </si>
  <si>
    <t>Cassandra Diamond White MOP Dial Steel</t>
  </si>
  <si>
    <t>Cassandra Diamond Green MOP Dial Gold Two Tone Steel</t>
  </si>
  <si>
    <t>Cassandra Diamond Champagne MOP Dial Gold Two Tone Steel</t>
  </si>
  <si>
    <t>Cassandra Diamond White MOP Dial Gold IP Steel</t>
  </si>
  <si>
    <t>Cassandra Diamond White MOP Dial Rose Gold Two Tone Steel</t>
  </si>
  <si>
    <t>966847 41 80 20</t>
  </si>
  <si>
    <t>966847 47 20 02</t>
  </si>
  <si>
    <t>966847 47 20 20</t>
  </si>
  <si>
    <t>966847 48 20 20</t>
  </si>
  <si>
    <t>966847 49 20 02</t>
  </si>
  <si>
    <t>966847 49 20 20</t>
  </si>
  <si>
    <t>Stella Black MOP Dial Steel</t>
  </si>
  <si>
    <t>Stella White MOP Dial Gold Bezel Brown Leather strap</t>
  </si>
  <si>
    <t>Stella White MOP Dial Rose Gold Bezel Brown Leather strap</t>
  </si>
  <si>
    <t>Stella White MOP Dial Gold Two Tone Steel</t>
  </si>
  <si>
    <t>Stella White MOP Dial Rose Gold Two Tone Steel</t>
  </si>
  <si>
    <t>Stella White MOP Dial Gold Steel</t>
  </si>
  <si>
    <t>967847 47 20 50</t>
  </si>
  <si>
    <t>967847 48 30 50</t>
  </si>
  <si>
    <t>967847 49 20 50</t>
  </si>
  <si>
    <t>Dreamline Diamond 28 mm White MOP Dial Gold Two Tone Steel</t>
  </si>
  <si>
    <t>Dreamline Diamond 28 mm White MOP Dial Rose Gold Two Tone Steel</t>
  </si>
  <si>
    <t>Dreamline Diamond 28 mm White MOP Dial Gold Steel</t>
  </si>
  <si>
    <t>988833 48 35 05</t>
  </si>
  <si>
    <t>Valais Gents Champagne Dial Brown Strap Boxed Set with Gold Mesh Bracelet</t>
  </si>
  <si>
    <t>989847 41 20 05</t>
  </si>
  <si>
    <t>Valais Ladies White MOP Dial Black Strap Boxed Set with Mesh Bracelet</t>
  </si>
  <si>
    <t>989847 49 10 05</t>
  </si>
  <si>
    <t>Valais Ladies White MOP Dial Brown Strap Boxed Set with Rose gold Mesh Bracelet</t>
  </si>
  <si>
    <t>Effective 1st October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</si>
</sst>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[$£-809]#,##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165" fontId="6" fillId="0" borderId="0" xfId="0" applyNumberFormat="1" applyFont="1" applyAlignment="1">
      <alignment horizontal="center"/>
    </xf>
    <xf numFmtId="0" fontId="0" fillId="0" borderId="4" xfId="0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730C1FC3-B477-4CC8-AC26-68599E349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1720850</xdr:colOff>
      <xdr:row>0</xdr:row>
      <xdr:rowOff>50800</xdr:rowOff>
    </xdr:from>
    <xdr:to>
      <xdr:col>1</xdr:col>
      <xdr:colOff>3787140</xdr:colOff>
      <xdr:row>0</xdr:row>
      <xdr:rowOff>684571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148C7C-043B-4D42-B815-CCBB7A483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700" y="50800"/>
          <a:ext cx="2063750" cy="6337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2"/>
  <sheetViews>
    <sheetView tabSelected="1" zoomScaleNormal="100" workbookViewId="0">
      <selection activeCell="F9" sqref="F9"/>
    </sheetView>
  </sheetViews>
  <sheetFormatPr defaultRowHeight="14.4" x14ac:dyDescent="0.3"/>
  <cols>
    <col min="1" max="1" width="15.5546875" style="1" bestFit="1" customWidth="1"/>
    <col min="2" max="2" width="73.77734375" style="1" bestFit="1" customWidth="1"/>
    <col min="3" max="3" width="14.21875" style="4" customWidth="1"/>
    <col min="4" max="4" width="12.88671875" style="8" bestFit="1" customWidth="1"/>
    <col min="5" max="5" width="8.77734375" customWidth="1"/>
  </cols>
  <sheetData>
    <row r="1" spans="1:4" ht="60.45" customHeight="1" x14ac:dyDescent="0.3">
      <c r="A1" s="24"/>
      <c r="B1" s="24"/>
      <c r="C1" s="24"/>
      <c r="D1" s="24"/>
    </row>
    <row r="2" spans="1:4" ht="29.25" customHeight="1" x14ac:dyDescent="0.3">
      <c r="A2" s="25" t="s">
        <v>227</v>
      </c>
      <c r="B2" s="25"/>
      <c r="C2" s="25"/>
      <c r="D2" s="25"/>
    </row>
    <row r="3" spans="1:4" ht="17.25" customHeight="1" x14ac:dyDescent="0.3">
      <c r="A3" s="28" t="s">
        <v>376</v>
      </c>
      <c r="B3" s="28"/>
      <c r="C3" s="28"/>
      <c r="D3" s="28"/>
    </row>
    <row r="4" spans="1:4" s="2" customFormat="1" ht="15" customHeight="1" x14ac:dyDescent="0.3">
      <c r="A4" s="27" t="s">
        <v>2</v>
      </c>
      <c r="B4" s="27"/>
      <c r="C4" s="27"/>
      <c r="D4" s="27"/>
    </row>
    <row r="5" spans="1:4" s="2" customFormat="1" ht="15.75" customHeight="1" x14ac:dyDescent="0.3">
      <c r="A5" s="27" t="s">
        <v>32</v>
      </c>
      <c r="B5" s="27"/>
      <c r="C5" s="27"/>
      <c r="D5" s="27"/>
    </row>
    <row r="6" spans="1:4" s="2" customFormat="1" ht="15.75" customHeight="1" x14ac:dyDescent="0.3">
      <c r="A6" s="26" t="s">
        <v>3</v>
      </c>
      <c r="B6" s="26"/>
      <c r="C6" s="26"/>
      <c r="D6" s="26"/>
    </row>
    <row r="7" spans="1:4" ht="15" thickBot="1" x14ac:dyDescent="0.35"/>
    <row r="8" spans="1:4" s="3" customFormat="1" ht="15" thickBot="1" x14ac:dyDescent="0.35">
      <c r="A8" s="5" t="s">
        <v>0</v>
      </c>
      <c r="B8" s="5" t="s">
        <v>1</v>
      </c>
      <c r="C8" s="6" t="s">
        <v>71</v>
      </c>
      <c r="D8" s="7" t="s">
        <v>4</v>
      </c>
    </row>
    <row r="9" spans="1:4" s="3" customFormat="1" x14ac:dyDescent="0.3">
      <c r="A9" s="21" t="s">
        <v>72</v>
      </c>
      <c r="B9" s="21" t="s">
        <v>82</v>
      </c>
      <c r="C9" s="22">
        <v>799</v>
      </c>
      <c r="D9" s="23">
        <f t="shared" ref="D9:D40" si="0">C9/1.2*0.55</f>
        <v>366.20833333333337</v>
      </c>
    </row>
    <row r="10" spans="1:4" s="3" customFormat="1" x14ac:dyDescent="0.3">
      <c r="A10" s="17" t="s">
        <v>73</v>
      </c>
      <c r="B10" s="17" t="s">
        <v>83</v>
      </c>
      <c r="C10" s="12">
        <v>849</v>
      </c>
      <c r="D10" s="9">
        <f t="shared" si="0"/>
        <v>389.12500000000006</v>
      </c>
    </row>
    <row r="11" spans="1:4" ht="15" customHeight="1" x14ac:dyDescent="0.3">
      <c r="A11" s="17" t="s">
        <v>74</v>
      </c>
      <c r="B11" s="17" t="s">
        <v>84</v>
      </c>
      <c r="C11" s="12">
        <v>799</v>
      </c>
      <c r="D11" s="9">
        <f t="shared" si="0"/>
        <v>366.20833333333337</v>
      </c>
    </row>
    <row r="12" spans="1:4" ht="15" customHeight="1" x14ac:dyDescent="0.3">
      <c r="A12" s="17" t="s">
        <v>230</v>
      </c>
      <c r="B12" s="17" t="s">
        <v>231</v>
      </c>
      <c r="C12" s="12">
        <v>849</v>
      </c>
      <c r="D12" s="9">
        <f t="shared" si="0"/>
        <v>389.12500000000006</v>
      </c>
    </row>
    <row r="13" spans="1:4" ht="15" customHeight="1" x14ac:dyDescent="0.3">
      <c r="A13" s="17" t="s">
        <v>75</v>
      </c>
      <c r="B13" s="17" t="s">
        <v>85</v>
      </c>
      <c r="C13" s="12">
        <v>899</v>
      </c>
      <c r="D13" s="9">
        <f t="shared" si="0"/>
        <v>412.04166666666674</v>
      </c>
    </row>
    <row r="14" spans="1:4" ht="15" customHeight="1" x14ac:dyDescent="0.3">
      <c r="A14" s="18" t="s">
        <v>86</v>
      </c>
      <c r="B14" s="18" t="s">
        <v>87</v>
      </c>
      <c r="C14" s="10">
        <v>699</v>
      </c>
      <c r="D14" s="9">
        <f t="shared" si="0"/>
        <v>320.375</v>
      </c>
    </row>
    <row r="15" spans="1:4" ht="15" customHeight="1" x14ac:dyDescent="0.3">
      <c r="A15" s="18" t="s">
        <v>33</v>
      </c>
      <c r="B15" s="18" t="s">
        <v>39</v>
      </c>
      <c r="C15" s="10">
        <v>699</v>
      </c>
      <c r="D15" s="9">
        <f t="shared" si="0"/>
        <v>320.375</v>
      </c>
    </row>
    <row r="16" spans="1:4" ht="15" customHeight="1" x14ac:dyDescent="0.3">
      <c r="A16" s="18" t="s">
        <v>34</v>
      </c>
      <c r="B16" s="18" t="s">
        <v>40</v>
      </c>
      <c r="C16" s="10">
        <v>699</v>
      </c>
      <c r="D16" s="9">
        <f t="shared" si="0"/>
        <v>320.375</v>
      </c>
    </row>
    <row r="17" spans="1:4" ht="15" customHeight="1" x14ac:dyDescent="0.3">
      <c r="A17" s="18" t="s">
        <v>50</v>
      </c>
      <c r="B17" s="18" t="s">
        <v>11</v>
      </c>
      <c r="C17" s="10">
        <v>699</v>
      </c>
      <c r="D17" s="9">
        <f t="shared" si="0"/>
        <v>320.375</v>
      </c>
    </row>
    <row r="18" spans="1:4" ht="15" customHeight="1" x14ac:dyDescent="0.3">
      <c r="A18" s="18" t="s">
        <v>44</v>
      </c>
      <c r="B18" s="18" t="s">
        <v>47</v>
      </c>
      <c r="C18" s="9">
        <v>399</v>
      </c>
      <c r="D18" s="9">
        <f t="shared" si="0"/>
        <v>182.87500000000003</v>
      </c>
    </row>
    <row r="19" spans="1:4" ht="15" customHeight="1" x14ac:dyDescent="0.3">
      <c r="A19" s="18" t="s">
        <v>45</v>
      </c>
      <c r="B19" s="18" t="s">
        <v>48</v>
      </c>
      <c r="C19" s="9">
        <v>399</v>
      </c>
      <c r="D19" s="9">
        <f t="shared" si="0"/>
        <v>182.87500000000003</v>
      </c>
    </row>
    <row r="20" spans="1:4" x14ac:dyDescent="0.3">
      <c r="A20" s="18" t="s">
        <v>46</v>
      </c>
      <c r="B20" s="18" t="s">
        <v>49</v>
      </c>
      <c r="C20" s="9">
        <v>399</v>
      </c>
      <c r="D20" s="9">
        <f t="shared" si="0"/>
        <v>182.87500000000003</v>
      </c>
    </row>
    <row r="21" spans="1:4" x14ac:dyDescent="0.3">
      <c r="A21" s="18" t="s">
        <v>137</v>
      </c>
      <c r="B21" s="18" t="s">
        <v>138</v>
      </c>
      <c r="C21" s="9">
        <v>439</v>
      </c>
      <c r="D21" s="9">
        <f t="shared" si="0"/>
        <v>201.20833333333337</v>
      </c>
    </row>
    <row r="22" spans="1:4" x14ac:dyDescent="0.3">
      <c r="A22" s="17" t="s">
        <v>177</v>
      </c>
      <c r="B22" s="17" t="s">
        <v>178</v>
      </c>
      <c r="C22" s="12">
        <v>235</v>
      </c>
      <c r="D22" s="9">
        <f t="shared" si="0"/>
        <v>107.70833333333334</v>
      </c>
    </row>
    <row r="23" spans="1:4" x14ac:dyDescent="0.3">
      <c r="A23" s="17" t="s">
        <v>12</v>
      </c>
      <c r="B23" s="18" t="s">
        <v>16</v>
      </c>
      <c r="C23" s="13">
        <v>235</v>
      </c>
      <c r="D23" s="9">
        <f t="shared" si="0"/>
        <v>107.70833333333334</v>
      </c>
    </row>
    <row r="24" spans="1:4" x14ac:dyDescent="0.3">
      <c r="A24" s="17" t="s">
        <v>13</v>
      </c>
      <c r="B24" s="18" t="s">
        <v>15</v>
      </c>
      <c r="C24" s="13">
        <v>235</v>
      </c>
      <c r="D24" s="9">
        <f t="shared" si="0"/>
        <v>107.70833333333334</v>
      </c>
    </row>
    <row r="25" spans="1:4" x14ac:dyDescent="0.3">
      <c r="A25" s="17" t="s">
        <v>14</v>
      </c>
      <c r="B25" s="18" t="s">
        <v>17</v>
      </c>
      <c r="C25" s="13">
        <v>235</v>
      </c>
      <c r="D25" s="9">
        <f t="shared" si="0"/>
        <v>107.70833333333334</v>
      </c>
    </row>
    <row r="26" spans="1:4" x14ac:dyDescent="0.3">
      <c r="A26" s="17" t="s">
        <v>5</v>
      </c>
      <c r="B26" s="18" t="s">
        <v>8</v>
      </c>
      <c r="C26" s="13">
        <v>265</v>
      </c>
      <c r="D26" s="9">
        <f t="shared" si="0"/>
        <v>121.45833333333334</v>
      </c>
    </row>
    <row r="27" spans="1:4" ht="15" customHeight="1" x14ac:dyDescent="0.3">
      <c r="A27" s="17" t="s">
        <v>92</v>
      </c>
      <c r="B27" s="17" t="s">
        <v>93</v>
      </c>
      <c r="C27" s="10">
        <v>235</v>
      </c>
      <c r="D27" s="9">
        <f t="shared" si="0"/>
        <v>107.70833333333334</v>
      </c>
    </row>
    <row r="28" spans="1:4" ht="15" customHeight="1" x14ac:dyDescent="0.3">
      <c r="A28" s="17" t="s">
        <v>6</v>
      </c>
      <c r="B28" s="18" t="s">
        <v>9</v>
      </c>
      <c r="C28" s="13">
        <v>235</v>
      </c>
      <c r="D28" s="9">
        <f t="shared" si="0"/>
        <v>107.70833333333334</v>
      </c>
    </row>
    <row r="29" spans="1:4" ht="15" customHeight="1" x14ac:dyDescent="0.3">
      <c r="A29" s="17" t="s">
        <v>7</v>
      </c>
      <c r="B29" s="18" t="s">
        <v>10</v>
      </c>
      <c r="C29" s="10">
        <v>235</v>
      </c>
      <c r="D29" s="9">
        <f t="shared" si="0"/>
        <v>107.70833333333334</v>
      </c>
    </row>
    <row r="30" spans="1:4" ht="15" customHeight="1" x14ac:dyDescent="0.3">
      <c r="A30" s="17" t="s">
        <v>22</v>
      </c>
      <c r="B30" s="18" t="s">
        <v>23</v>
      </c>
      <c r="C30" s="10">
        <v>265</v>
      </c>
      <c r="D30" s="9">
        <f t="shared" si="0"/>
        <v>121.45833333333334</v>
      </c>
    </row>
    <row r="31" spans="1:4" ht="15" customHeight="1" x14ac:dyDescent="0.3">
      <c r="A31" s="17" t="s">
        <v>244</v>
      </c>
      <c r="B31" s="17" t="s">
        <v>245</v>
      </c>
      <c r="C31" s="12">
        <v>259</v>
      </c>
      <c r="D31" s="9">
        <f t="shared" si="0"/>
        <v>118.70833333333334</v>
      </c>
    </row>
    <row r="32" spans="1:4" ht="15" customHeight="1" x14ac:dyDescent="0.3">
      <c r="A32" s="17" t="s">
        <v>24</v>
      </c>
      <c r="B32" s="17" t="s">
        <v>28</v>
      </c>
      <c r="C32" s="10">
        <v>259</v>
      </c>
      <c r="D32" s="9">
        <f t="shared" si="0"/>
        <v>118.70833333333334</v>
      </c>
    </row>
    <row r="33" spans="1:4" ht="15" customHeight="1" x14ac:dyDescent="0.3">
      <c r="A33" s="17" t="s">
        <v>242</v>
      </c>
      <c r="B33" s="17" t="s">
        <v>243</v>
      </c>
      <c r="C33" s="12">
        <v>289</v>
      </c>
      <c r="D33" s="9">
        <f t="shared" si="0"/>
        <v>132.45833333333334</v>
      </c>
    </row>
    <row r="34" spans="1:4" ht="15" customHeight="1" x14ac:dyDescent="0.3">
      <c r="A34" s="17" t="s">
        <v>139</v>
      </c>
      <c r="B34" s="17" t="s">
        <v>140</v>
      </c>
      <c r="C34" s="10">
        <v>289</v>
      </c>
      <c r="D34" s="9">
        <f t="shared" si="0"/>
        <v>132.45833333333334</v>
      </c>
    </row>
    <row r="35" spans="1:4" ht="15" customHeight="1" x14ac:dyDescent="0.3">
      <c r="A35" s="17" t="s">
        <v>25</v>
      </c>
      <c r="B35" s="17" t="s">
        <v>29</v>
      </c>
      <c r="C35" s="10">
        <v>289</v>
      </c>
      <c r="D35" s="9">
        <f t="shared" si="0"/>
        <v>132.45833333333334</v>
      </c>
    </row>
    <row r="36" spans="1:4" ht="15" customHeight="1" x14ac:dyDescent="0.3">
      <c r="A36" s="17" t="s">
        <v>26</v>
      </c>
      <c r="B36" s="17" t="s">
        <v>30</v>
      </c>
      <c r="C36" s="10">
        <v>289</v>
      </c>
      <c r="D36" s="9">
        <f t="shared" si="0"/>
        <v>132.45833333333334</v>
      </c>
    </row>
    <row r="37" spans="1:4" ht="15" customHeight="1" x14ac:dyDescent="0.3">
      <c r="A37" s="17" t="s">
        <v>27</v>
      </c>
      <c r="B37" s="17" t="s">
        <v>31</v>
      </c>
      <c r="C37" s="10">
        <v>289</v>
      </c>
      <c r="D37" s="9">
        <f t="shared" si="0"/>
        <v>132.45833333333334</v>
      </c>
    </row>
    <row r="38" spans="1:4" ht="15" customHeight="1" x14ac:dyDescent="0.3">
      <c r="A38" s="17" t="s">
        <v>342</v>
      </c>
      <c r="B38" s="17" t="s">
        <v>347</v>
      </c>
      <c r="C38" s="10">
        <v>349</v>
      </c>
      <c r="D38" s="9">
        <f t="shared" si="0"/>
        <v>159.95833333333337</v>
      </c>
    </row>
    <row r="39" spans="1:4" ht="15" customHeight="1" x14ac:dyDescent="0.3">
      <c r="A39" s="17" t="s">
        <v>343</v>
      </c>
      <c r="B39" s="17" t="s">
        <v>349</v>
      </c>
      <c r="C39" s="10">
        <v>379</v>
      </c>
      <c r="D39" s="9">
        <f t="shared" si="0"/>
        <v>173.70833333333337</v>
      </c>
    </row>
    <row r="40" spans="1:4" ht="15" customHeight="1" x14ac:dyDescent="0.3">
      <c r="A40" s="17" t="s">
        <v>344</v>
      </c>
      <c r="B40" s="17" t="s">
        <v>348</v>
      </c>
      <c r="C40" s="10">
        <v>379</v>
      </c>
      <c r="D40" s="9">
        <f t="shared" si="0"/>
        <v>173.70833333333337</v>
      </c>
    </row>
    <row r="41" spans="1:4" ht="15" customHeight="1" x14ac:dyDescent="0.3">
      <c r="A41" s="17" t="s">
        <v>345</v>
      </c>
      <c r="B41" s="17" t="s">
        <v>350</v>
      </c>
      <c r="C41" s="10">
        <v>379</v>
      </c>
      <c r="D41" s="9">
        <f t="shared" ref="D41:D72" si="1">C41/1.2*0.55</f>
        <v>173.70833333333337</v>
      </c>
    </row>
    <row r="42" spans="1:4" ht="15" customHeight="1" x14ac:dyDescent="0.3">
      <c r="A42" s="17" t="s">
        <v>346</v>
      </c>
      <c r="B42" s="17" t="s">
        <v>351</v>
      </c>
      <c r="C42" s="10">
        <v>379</v>
      </c>
      <c r="D42" s="9">
        <f t="shared" si="1"/>
        <v>173.70833333333337</v>
      </c>
    </row>
    <row r="43" spans="1:4" ht="15" customHeight="1" x14ac:dyDescent="0.3">
      <c r="A43" s="17" t="s">
        <v>334</v>
      </c>
      <c r="B43" s="17" t="s">
        <v>338</v>
      </c>
      <c r="C43" s="14">
        <v>319</v>
      </c>
      <c r="D43" s="9">
        <f t="shared" si="1"/>
        <v>146.20833333333337</v>
      </c>
    </row>
    <row r="44" spans="1:4" x14ac:dyDescent="0.3">
      <c r="A44" s="17" t="s">
        <v>335</v>
      </c>
      <c r="B44" s="17" t="s">
        <v>339</v>
      </c>
      <c r="C44" s="14">
        <v>349</v>
      </c>
      <c r="D44" s="9">
        <f t="shared" si="1"/>
        <v>159.95833333333337</v>
      </c>
    </row>
    <row r="45" spans="1:4" x14ac:dyDescent="0.3">
      <c r="A45" s="17" t="s">
        <v>336</v>
      </c>
      <c r="B45" s="17" t="s">
        <v>341</v>
      </c>
      <c r="C45" s="14">
        <v>349</v>
      </c>
      <c r="D45" s="9">
        <f t="shared" si="1"/>
        <v>159.95833333333337</v>
      </c>
    </row>
    <row r="46" spans="1:4" x14ac:dyDescent="0.3">
      <c r="A46" s="17" t="s">
        <v>337</v>
      </c>
      <c r="B46" s="17" t="s">
        <v>340</v>
      </c>
      <c r="C46" s="14">
        <v>349</v>
      </c>
      <c r="D46" s="9">
        <f t="shared" si="1"/>
        <v>159.95833333333337</v>
      </c>
    </row>
    <row r="47" spans="1:4" x14ac:dyDescent="0.3">
      <c r="A47" s="17" t="s">
        <v>90</v>
      </c>
      <c r="B47" s="17" t="s">
        <v>91</v>
      </c>
      <c r="C47" s="10">
        <v>250</v>
      </c>
      <c r="D47" s="9">
        <f t="shared" si="1"/>
        <v>114.58333333333334</v>
      </c>
    </row>
    <row r="48" spans="1:4" x14ac:dyDescent="0.3">
      <c r="A48" s="17" t="s">
        <v>20</v>
      </c>
      <c r="B48" s="17" t="s">
        <v>18</v>
      </c>
      <c r="C48" s="10">
        <v>250</v>
      </c>
      <c r="D48" s="9">
        <f t="shared" si="1"/>
        <v>114.58333333333334</v>
      </c>
    </row>
    <row r="49" spans="1:4" ht="15" customHeight="1" x14ac:dyDescent="0.3">
      <c r="A49" s="17" t="s">
        <v>21</v>
      </c>
      <c r="B49" s="17" t="s">
        <v>19</v>
      </c>
      <c r="C49" s="10">
        <v>250</v>
      </c>
      <c r="D49" s="9">
        <f t="shared" si="1"/>
        <v>114.58333333333334</v>
      </c>
    </row>
    <row r="50" spans="1:4" x14ac:dyDescent="0.3">
      <c r="A50" s="17" t="s">
        <v>179</v>
      </c>
      <c r="B50" s="17" t="s">
        <v>180</v>
      </c>
      <c r="C50" s="12">
        <v>250</v>
      </c>
      <c r="D50" s="9">
        <f t="shared" si="1"/>
        <v>114.58333333333334</v>
      </c>
    </row>
    <row r="51" spans="1:4" x14ac:dyDescent="0.3">
      <c r="A51" s="17" t="s">
        <v>175</v>
      </c>
      <c r="B51" s="17" t="s">
        <v>176</v>
      </c>
      <c r="C51" s="12">
        <v>250</v>
      </c>
      <c r="D51" s="9">
        <f t="shared" si="1"/>
        <v>114.58333333333334</v>
      </c>
    </row>
    <row r="52" spans="1:4" ht="15" customHeight="1" x14ac:dyDescent="0.3">
      <c r="A52" s="17" t="s">
        <v>234</v>
      </c>
      <c r="B52" s="17" t="s">
        <v>235</v>
      </c>
      <c r="C52" s="10">
        <v>275</v>
      </c>
      <c r="D52" s="9">
        <f t="shared" si="1"/>
        <v>126.04166666666669</v>
      </c>
    </row>
    <row r="53" spans="1:4" ht="15" customHeight="1" x14ac:dyDescent="0.3">
      <c r="A53" s="17" t="s">
        <v>88</v>
      </c>
      <c r="B53" s="17" t="s">
        <v>89</v>
      </c>
      <c r="C53" s="10">
        <v>299</v>
      </c>
      <c r="D53" s="9">
        <f t="shared" si="1"/>
        <v>137.04166666666669</v>
      </c>
    </row>
    <row r="54" spans="1:4" ht="15" customHeight="1" x14ac:dyDescent="0.3">
      <c r="A54" s="17" t="s">
        <v>35</v>
      </c>
      <c r="B54" s="17" t="s">
        <v>41</v>
      </c>
      <c r="C54" s="10">
        <v>299</v>
      </c>
      <c r="D54" s="9">
        <f t="shared" si="1"/>
        <v>137.04166666666669</v>
      </c>
    </row>
    <row r="55" spans="1:4" ht="15" customHeight="1" x14ac:dyDescent="0.3">
      <c r="A55" s="17" t="s">
        <v>36</v>
      </c>
      <c r="B55" s="17" t="s">
        <v>42</v>
      </c>
      <c r="C55" s="10">
        <v>299</v>
      </c>
      <c r="D55" s="9">
        <f t="shared" si="1"/>
        <v>137.04166666666669</v>
      </c>
    </row>
    <row r="56" spans="1:4" ht="15" customHeight="1" x14ac:dyDescent="0.3">
      <c r="A56" s="17" t="s">
        <v>37</v>
      </c>
      <c r="B56" s="17" t="s">
        <v>43</v>
      </c>
      <c r="C56" s="10">
        <v>299</v>
      </c>
      <c r="D56" s="9">
        <f t="shared" si="1"/>
        <v>137.04166666666669</v>
      </c>
    </row>
    <row r="57" spans="1:4" ht="15" customHeight="1" x14ac:dyDescent="0.3">
      <c r="A57" s="17" t="s">
        <v>98</v>
      </c>
      <c r="B57" s="17" t="s">
        <v>99</v>
      </c>
      <c r="C57" s="10">
        <v>299</v>
      </c>
      <c r="D57" s="9">
        <f t="shared" si="1"/>
        <v>137.04166666666669</v>
      </c>
    </row>
    <row r="58" spans="1:4" x14ac:dyDescent="0.3">
      <c r="A58" s="17" t="s">
        <v>38</v>
      </c>
      <c r="B58" s="17" t="s">
        <v>126</v>
      </c>
      <c r="C58" s="10">
        <v>340</v>
      </c>
      <c r="D58" s="9">
        <f t="shared" si="1"/>
        <v>155.83333333333337</v>
      </c>
    </row>
    <row r="59" spans="1:4" ht="15" customHeight="1" x14ac:dyDescent="0.3">
      <c r="A59" s="17" t="s">
        <v>294</v>
      </c>
      <c r="B59" s="17" t="s">
        <v>299</v>
      </c>
      <c r="C59" s="12">
        <v>349</v>
      </c>
      <c r="D59" s="9">
        <f t="shared" si="1"/>
        <v>159.95833333333337</v>
      </c>
    </row>
    <row r="60" spans="1:4" ht="15" customHeight="1" x14ac:dyDescent="0.3">
      <c r="A60" s="17" t="s">
        <v>295</v>
      </c>
      <c r="B60" s="17" t="s">
        <v>300</v>
      </c>
      <c r="C60" s="12">
        <v>349</v>
      </c>
      <c r="D60" s="9">
        <f t="shared" si="1"/>
        <v>159.95833333333337</v>
      </c>
    </row>
    <row r="61" spans="1:4" x14ac:dyDescent="0.3">
      <c r="A61" s="17" t="s">
        <v>296</v>
      </c>
      <c r="B61" s="17" t="s">
        <v>301</v>
      </c>
      <c r="C61" s="12">
        <v>349</v>
      </c>
      <c r="D61" s="9">
        <f t="shared" si="1"/>
        <v>159.95833333333337</v>
      </c>
    </row>
    <row r="62" spans="1:4" ht="15" customHeight="1" x14ac:dyDescent="0.3">
      <c r="A62" s="17" t="s">
        <v>297</v>
      </c>
      <c r="B62" s="17" t="s">
        <v>302</v>
      </c>
      <c r="C62" s="12">
        <v>349</v>
      </c>
      <c r="D62" s="9">
        <f t="shared" si="1"/>
        <v>159.95833333333337</v>
      </c>
    </row>
    <row r="63" spans="1:4" ht="15" customHeight="1" x14ac:dyDescent="0.3">
      <c r="A63" s="17" t="s">
        <v>298</v>
      </c>
      <c r="B63" s="17" t="s">
        <v>303</v>
      </c>
      <c r="C63" s="12">
        <v>399</v>
      </c>
      <c r="D63" s="9">
        <f t="shared" si="1"/>
        <v>182.87500000000003</v>
      </c>
    </row>
    <row r="64" spans="1:4" ht="15" customHeight="1" x14ac:dyDescent="0.3">
      <c r="A64" s="18" t="s">
        <v>314</v>
      </c>
      <c r="B64" s="18" t="s">
        <v>310</v>
      </c>
      <c r="C64" s="10">
        <v>779</v>
      </c>
      <c r="D64" s="9">
        <f t="shared" si="1"/>
        <v>357.04166666666674</v>
      </c>
    </row>
    <row r="65" spans="1:4" ht="15" customHeight="1" x14ac:dyDescent="0.3">
      <c r="A65" s="18" t="s">
        <v>315</v>
      </c>
      <c r="B65" s="18" t="s">
        <v>311</v>
      </c>
      <c r="C65" s="10">
        <v>779</v>
      </c>
      <c r="D65" s="9">
        <f t="shared" si="1"/>
        <v>357.04166666666674</v>
      </c>
    </row>
    <row r="66" spans="1:4" ht="15" customHeight="1" x14ac:dyDescent="0.3">
      <c r="A66" s="18" t="s">
        <v>316</v>
      </c>
      <c r="B66" s="18" t="s">
        <v>312</v>
      </c>
      <c r="C66" s="10">
        <v>779</v>
      </c>
      <c r="D66" s="9">
        <f t="shared" si="1"/>
        <v>357.04166666666674</v>
      </c>
    </row>
    <row r="67" spans="1:4" ht="15" customHeight="1" x14ac:dyDescent="0.3">
      <c r="A67" s="18" t="s">
        <v>317</v>
      </c>
      <c r="B67" s="18" t="s">
        <v>313</v>
      </c>
      <c r="C67" s="10">
        <v>779</v>
      </c>
      <c r="D67" s="9">
        <f t="shared" si="1"/>
        <v>357.04166666666674</v>
      </c>
    </row>
    <row r="68" spans="1:4" ht="15" customHeight="1" x14ac:dyDescent="0.3">
      <c r="A68" s="17" t="s">
        <v>59</v>
      </c>
      <c r="B68" s="17" t="s">
        <v>62</v>
      </c>
      <c r="C68" s="10">
        <v>299</v>
      </c>
      <c r="D68" s="9">
        <f t="shared" si="1"/>
        <v>137.04166666666669</v>
      </c>
    </row>
    <row r="69" spans="1:4" ht="15" customHeight="1" x14ac:dyDescent="0.3">
      <c r="A69" s="17" t="s">
        <v>60</v>
      </c>
      <c r="B69" s="17" t="s">
        <v>63</v>
      </c>
      <c r="C69" s="10">
        <v>329</v>
      </c>
      <c r="D69" s="9">
        <f t="shared" si="1"/>
        <v>150.79166666666669</v>
      </c>
    </row>
    <row r="70" spans="1:4" ht="15" customHeight="1" x14ac:dyDescent="0.3">
      <c r="A70" s="17" t="s">
        <v>61</v>
      </c>
      <c r="B70" s="17" t="s">
        <v>64</v>
      </c>
      <c r="C70" s="10">
        <v>329</v>
      </c>
      <c r="D70" s="9">
        <f t="shared" si="1"/>
        <v>150.79166666666669</v>
      </c>
    </row>
    <row r="71" spans="1:4" ht="15" customHeight="1" x14ac:dyDescent="0.3">
      <c r="A71" s="18" t="s">
        <v>51</v>
      </c>
      <c r="B71" s="18" t="s">
        <v>55</v>
      </c>
      <c r="C71" s="9">
        <v>349</v>
      </c>
      <c r="D71" s="9">
        <f t="shared" si="1"/>
        <v>159.95833333333337</v>
      </c>
    </row>
    <row r="72" spans="1:4" ht="15" customHeight="1" x14ac:dyDescent="0.3">
      <c r="A72" s="18" t="s">
        <v>52</v>
      </c>
      <c r="B72" s="18" t="s">
        <v>56</v>
      </c>
      <c r="C72" s="9">
        <v>349</v>
      </c>
      <c r="D72" s="9">
        <f t="shared" si="1"/>
        <v>159.95833333333337</v>
      </c>
    </row>
    <row r="73" spans="1:4" ht="15" customHeight="1" x14ac:dyDescent="0.3">
      <c r="A73" s="18" t="s">
        <v>53</v>
      </c>
      <c r="B73" s="18" t="s">
        <v>57</v>
      </c>
      <c r="C73" s="9">
        <v>349</v>
      </c>
      <c r="D73" s="9">
        <f t="shared" ref="D73:D104" si="2">C73/1.2*0.55</f>
        <v>159.95833333333337</v>
      </c>
    </row>
    <row r="74" spans="1:4" ht="15" customHeight="1" x14ac:dyDescent="0.3">
      <c r="A74" s="18" t="s">
        <v>54</v>
      </c>
      <c r="B74" s="18" t="s">
        <v>58</v>
      </c>
      <c r="C74" s="9">
        <v>349</v>
      </c>
      <c r="D74" s="9">
        <f t="shared" si="2"/>
        <v>159.95833333333337</v>
      </c>
    </row>
    <row r="75" spans="1:4" ht="15" customHeight="1" x14ac:dyDescent="0.3">
      <c r="A75" s="17" t="s">
        <v>318</v>
      </c>
      <c r="B75" s="17" t="s">
        <v>322</v>
      </c>
      <c r="C75" s="12">
        <v>769</v>
      </c>
      <c r="D75" s="9">
        <f t="shared" si="2"/>
        <v>352.45833333333337</v>
      </c>
    </row>
    <row r="76" spans="1:4" ht="15" customHeight="1" x14ac:dyDescent="0.3">
      <c r="A76" s="17" t="s">
        <v>319</v>
      </c>
      <c r="B76" s="17" t="s">
        <v>323</v>
      </c>
      <c r="C76" s="12">
        <v>769</v>
      </c>
      <c r="D76" s="9">
        <f t="shared" si="2"/>
        <v>352.45833333333337</v>
      </c>
    </row>
    <row r="77" spans="1:4" ht="15" customHeight="1" x14ac:dyDescent="0.3">
      <c r="A77" s="17" t="s">
        <v>320</v>
      </c>
      <c r="B77" s="17" t="s">
        <v>324</v>
      </c>
      <c r="C77" s="12">
        <v>769</v>
      </c>
      <c r="D77" s="9">
        <f t="shared" si="2"/>
        <v>352.45833333333337</v>
      </c>
    </row>
    <row r="78" spans="1:4" x14ac:dyDescent="0.3">
      <c r="A78" s="17" t="s">
        <v>321</v>
      </c>
      <c r="B78" s="17" t="s">
        <v>325</v>
      </c>
      <c r="C78" s="12">
        <v>799</v>
      </c>
      <c r="D78" s="9">
        <f t="shared" si="2"/>
        <v>366.20833333333337</v>
      </c>
    </row>
    <row r="79" spans="1:4" x14ac:dyDescent="0.3">
      <c r="A79" s="17" t="s">
        <v>352</v>
      </c>
      <c r="B79" s="17" t="s">
        <v>358</v>
      </c>
      <c r="C79" s="12">
        <v>289</v>
      </c>
      <c r="D79" s="9">
        <f t="shared" si="2"/>
        <v>132.45833333333334</v>
      </c>
    </row>
    <row r="80" spans="1:4" ht="15" customHeight="1" x14ac:dyDescent="0.3">
      <c r="A80" s="17" t="s">
        <v>353</v>
      </c>
      <c r="B80" s="17" t="s">
        <v>359</v>
      </c>
      <c r="C80" s="12">
        <v>269</v>
      </c>
      <c r="D80" s="9">
        <f t="shared" si="2"/>
        <v>123.29166666666669</v>
      </c>
    </row>
    <row r="81" spans="1:4" ht="15" customHeight="1" x14ac:dyDescent="0.3">
      <c r="A81" s="17" t="s">
        <v>354</v>
      </c>
      <c r="B81" s="17" t="s">
        <v>361</v>
      </c>
      <c r="C81" s="12">
        <v>329</v>
      </c>
      <c r="D81" s="9">
        <f t="shared" si="2"/>
        <v>150.79166666666669</v>
      </c>
    </row>
    <row r="82" spans="1:4" ht="15" customHeight="1" x14ac:dyDescent="0.3">
      <c r="A82" s="17" t="s">
        <v>355</v>
      </c>
      <c r="B82" s="17" t="s">
        <v>363</v>
      </c>
      <c r="C82" s="12">
        <v>329</v>
      </c>
      <c r="D82" s="9">
        <f t="shared" si="2"/>
        <v>150.79166666666669</v>
      </c>
    </row>
    <row r="83" spans="1:4" ht="15" customHeight="1" x14ac:dyDescent="0.3">
      <c r="A83" s="17" t="s">
        <v>356</v>
      </c>
      <c r="B83" s="17" t="s">
        <v>360</v>
      </c>
      <c r="C83" s="12">
        <v>269</v>
      </c>
      <c r="D83" s="9">
        <f t="shared" si="2"/>
        <v>123.29166666666669</v>
      </c>
    </row>
    <row r="84" spans="1:4" x14ac:dyDescent="0.3">
      <c r="A84" s="17" t="s">
        <v>357</v>
      </c>
      <c r="B84" s="17" t="s">
        <v>362</v>
      </c>
      <c r="C84" s="12">
        <v>329</v>
      </c>
      <c r="D84" s="9">
        <f t="shared" si="2"/>
        <v>150.79166666666669</v>
      </c>
    </row>
    <row r="85" spans="1:4" ht="15" customHeight="1" x14ac:dyDescent="0.3">
      <c r="A85" s="17" t="s">
        <v>364</v>
      </c>
      <c r="B85" s="17" t="s">
        <v>367</v>
      </c>
      <c r="C85" s="12">
        <v>369</v>
      </c>
      <c r="D85" s="9">
        <f t="shared" si="2"/>
        <v>169.125</v>
      </c>
    </row>
    <row r="86" spans="1:4" ht="15" customHeight="1" x14ac:dyDescent="0.3">
      <c r="A86" s="17" t="s">
        <v>365</v>
      </c>
      <c r="B86" s="17" t="s">
        <v>369</v>
      </c>
      <c r="C86" s="12">
        <v>369</v>
      </c>
      <c r="D86" s="9">
        <f t="shared" si="2"/>
        <v>169.125</v>
      </c>
    </row>
    <row r="87" spans="1:4" ht="15" customHeight="1" x14ac:dyDescent="0.3">
      <c r="A87" s="17" t="s">
        <v>366</v>
      </c>
      <c r="B87" s="17" t="s">
        <v>368</v>
      </c>
      <c r="C87" s="12">
        <v>369</v>
      </c>
      <c r="D87" s="9">
        <f t="shared" si="2"/>
        <v>169.125</v>
      </c>
    </row>
    <row r="88" spans="1:4" ht="15" customHeight="1" x14ac:dyDescent="0.3">
      <c r="A88" s="17" t="s">
        <v>326</v>
      </c>
      <c r="B88" s="17" t="s">
        <v>330</v>
      </c>
      <c r="C88" s="10">
        <v>449</v>
      </c>
      <c r="D88" s="9">
        <f t="shared" si="2"/>
        <v>205.79166666666669</v>
      </c>
    </row>
    <row r="89" spans="1:4" ht="15" customHeight="1" x14ac:dyDescent="0.3">
      <c r="A89" s="17" t="s">
        <v>327</v>
      </c>
      <c r="B89" s="17" t="s">
        <v>331</v>
      </c>
      <c r="C89" s="10">
        <v>449</v>
      </c>
      <c r="D89" s="9">
        <f t="shared" si="2"/>
        <v>205.79166666666669</v>
      </c>
    </row>
    <row r="90" spans="1:4" ht="15" customHeight="1" x14ac:dyDescent="0.3">
      <c r="A90" s="17" t="s">
        <v>328</v>
      </c>
      <c r="B90" s="17" t="s">
        <v>332</v>
      </c>
      <c r="C90" s="10">
        <v>499</v>
      </c>
      <c r="D90" s="9">
        <f t="shared" si="2"/>
        <v>228.70833333333337</v>
      </c>
    </row>
    <row r="91" spans="1:4" ht="15" customHeight="1" x14ac:dyDescent="0.3">
      <c r="A91" s="17" t="s">
        <v>329</v>
      </c>
      <c r="B91" s="17" t="s">
        <v>333</v>
      </c>
      <c r="C91" s="10">
        <v>449</v>
      </c>
      <c r="D91" s="9">
        <f t="shared" si="2"/>
        <v>205.79166666666669</v>
      </c>
    </row>
    <row r="92" spans="1:4" x14ac:dyDescent="0.3">
      <c r="A92" s="20" t="s">
        <v>246</v>
      </c>
      <c r="B92" s="17" t="s">
        <v>250</v>
      </c>
      <c r="C92" s="12">
        <v>349</v>
      </c>
      <c r="D92" s="9">
        <f t="shared" si="2"/>
        <v>159.95833333333337</v>
      </c>
    </row>
    <row r="93" spans="1:4" x14ac:dyDescent="0.3">
      <c r="A93" s="20" t="s">
        <v>247</v>
      </c>
      <c r="B93" s="17" t="s">
        <v>251</v>
      </c>
      <c r="C93" s="12">
        <v>349</v>
      </c>
      <c r="D93" s="9">
        <f t="shared" si="2"/>
        <v>159.95833333333337</v>
      </c>
    </row>
    <row r="94" spans="1:4" x14ac:dyDescent="0.3">
      <c r="A94" s="20" t="s">
        <v>248</v>
      </c>
      <c r="B94" s="17" t="s">
        <v>252</v>
      </c>
      <c r="C94" s="12">
        <v>349</v>
      </c>
      <c r="D94" s="9">
        <f t="shared" si="2"/>
        <v>159.95833333333337</v>
      </c>
    </row>
    <row r="95" spans="1:4" x14ac:dyDescent="0.3">
      <c r="A95" s="20" t="s">
        <v>249</v>
      </c>
      <c r="B95" s="17" t="s">
        <v>253</v>
      </c>
      <c r="C95" s="12">
        <v>349</v>
      </c>
      <c r="D95" s="9">
        <f t="shared" si="2"/>
        <v>159.95833333333337</v>
      </c>
    </row>
    <row r="96" spans="1:4" x14ac:dyDescent="0.3">
      <c r="A96" s="17" t="s">
        <v>189</v>
      </c>
      <c r="B96" s="17" t="s">
        <v>193</v>
      </c>
      <c r="C96" s="12">
        <v>759</v>
      </c>
      <c r="D96" s="9">
        <f t="shared" si="2"/>
        <v>347.875</v>
      </c>
    </row>
    <row r="97" spans="1:4" x14ac:dyDescent="0.3">
      <c r="A97" s="17" t="s">
        <v>190</v>
      </c>
      <c r="B97" s="17" t="s">
        <v>194</v>
      </c>
      <c r="C97" s="12">
        <v>759</v>
      </c>
      <c r="D97" s="9">
        <f t="shared" si="2"/>
        <v>347.875</v>
      </c>
    </row>
    <row r="98" spans="1:4" x14ac:dyDescent="0.3">
      <c r="A98" s="17" t="s">
        <v>191</v>
      </c>
      <c r="B98" s="17" t="s">
        <v>195</v>
      </c>
      <c r="C98" s="12">
        <v>759</v>
      </c>
      <c r="D98" s="9">
        <f t="shared" si="2"/>
        <v>347.875</v>
      </c>
    </row>
    <row r="99" spans="1:4" x14ac:dyDescent="0.3">
      <c r="A99" s="17" t="s">
        <v>192</v>
      </c>
      <c r="B99" s="17" t="s">
        <v>196</v>
      </c>
      <c r="C99" s="12">
        <v>799</v>
      </c>
      <c r="D99" s="9">
        <f t="shared" si="2"/>
        <v>366.20833333333337</v>
      </c>
    </row>
    <row r="100" spans="1:4" x14ac:dyDescent="0.3">
      <c r="A100" s="17" t="s">
        <v>203</v>
      </c>
      <c r="B100" s="17" t="s">
        <v>213</v>
      </c>
      <c r="C100" s="12">
        <v>249</v>
      </c>
      <c r="D100" s="9">
        <f t="shared" si="2"/>
        <v>114.12500000000001</v>
      </c>
    </row>
    <row r="101" spans="1:4" x14ac:dyDescent="0.3">
      <c r="A101" s="17" t="s">
        <v>264</v>
      </c>
      <c r="B101" s="17" t="s">
        <v>271</v>
      </c>
      <c r="C101" s="12">
        <v>289</v>
      </c>
      <c r="D101" s="9">
        <f t="shared" si="2"/>
        <v>132.45833333333334</v>
      </c>
    </row>
    <row r="102" spans="1:4" x14ac:dyDescent="0.3">
      <c r="A102" s="17" t="s">
        <v>205</v>
      </c>
      <c r="B102" s="17" t="s">
        <v>215</v>
      </c>
      <c r="C102" s="12">
        <v>249</v>
      </c>
      <c r="D102" s="9">
        <f t="shared" si="2"/>
        <v>114.12500000000001</v>
      </c>
    </row>
    <row r="103" spans="1:4" x14ac:dyDescent="0.3">
      <c r="A103" s="17" t="s">
        <v>260</v>
      </c>
      <c r="B103" s="17" t="s">
        <v>267</v>
      </c>
      <c r="C103" s="12">
        <v>289</v>
      </c>
      <c r="D103" s="9">
        <f t="shared" si="2"/>
        <v>132.45833333333334</v>
      </c>
    </row>
    <row r="104" spans="1:4" x14ac:dyDescent="0.3">
      <c r="A104" s="17" t="s">
        <v>206</v>
      </c>
      <c r="B104" s="17" t="s">
        <v>216</v>
      </c>
      <c r="C104" s="12">
        <v>249</v>
      </c>
      <c r="D104" s="9">
        <f t="shared" si="2"/>
        <v>114.12500000000001</v>
      </c>
    </row>
    <row r="105" spans="1:4" x14ac:dyDescent="0.3">
      <c r="A105" s="17" t="s">
        <v>261</v>
      </c>
      <c r="B105" s="17" t="s">
        <v>268</v>
      </c>
      <c r="C105" s="12">
        <v>289</v>
      </c>
      <c r="D105" s="9">
        <f t="shared" ref="D105:D136" si="3">C105/1.2*0.55</f>
        <v>132.45833333333334</v>
      </c>
    </row>
    <row r="106" spans="1:4" x14ac:dyDescent="0.3">
      <c r="A106" s="17" t="s">
        <v>204</v>
      </c>
      <c r="B106" s="17" t="s">
        <v>214</v>
      </c>
      <c r="C106" s="12">
        <v>279</v>
      </c>
      <c r="D106" s="9">
        <f t="shared" si="3"/>
        <v>127.87500000000001</v>
      </c>
    </row>
    <row r="107" spans="1:4" x14ac:dyDescent="0.3">
      <c r="A107" s="17" t="s">
        <v>265</v>
      </c>
      <c r="B107" s="17" t="s">
        <v>272</v>
      </c>
      <c r="C107" s="12">
        <v>319</v>
      </c>
      <c r="D107" s="9">
        <f t="shared" si="3"/>
        <v>146.20833333333337</v>
      </c>
    </row>
    <row r="108" spans="1:4" x14ac:dyDescent="0.3">
      <c r="A108" s="17" t="s">
        <v>207</v>
      </c>
      <c r="B108" s="17" t="s">
        <v>217</v>
      </c>
      <c r="C108" s="12">
        <v>279</v>
      </c>
      <c r="D108" s="9">
        <f t="shared" si="3"/>
        <v>127.87500000000001</v>
      </c>
    </row>
    <row r="109" spans="1:4" x14ac:dyDescent="0.3">
      <c r="A109" s="17" t="s">
        <v>263</v>
      </c>
      <c r="B109" s="17" t="s">
        <v>270</v>
      </c>
      <c r="C109" s="12">
        <v>319</v>
      </c>
      <c r="D109" s="9">
        <f t="shared" si="3"/>
        <v>146.20833333333337</v>
      </c>
    </row>
    <row r="110" spans="1:4" x14ac:dyDescent="0.3">
      <c r="A110" s="17" t="s">
        <v>266</v>
      </c>
      <c r="B110" s="17" t="s">
        <v>273</v>
      </c>
      <c r="C110" s="12">
        <v>319</v>
      </c>
      <c r="D110" s="9">
        <f t="shared" si="3"/>
        <v>146.20833333333337</v>
      </c>
    </row>
    <row r="111" spans="1:4" x14ac:dyDescent="0.3">
      <c r="A111" s="17" t="s">
        <v>262</v>
      </c>
      <c r="B111" s="17" t="s">
        <v>269</v>
      </c>
      <c r="C111" s="12">
        <v>319</v>
      </c>
      <c r="D111" s="9">
        <f t="shared" si="3"/>
        <v>146.20833333333337</v>
      </c>
    </row>
    <row r="112" spans="1:4" x14ac:dyDescent="0.3">
      <c r="A112" s="17" t="s">
        <v>212</v>
      </c>
      <c r="B112" s="17" t="s">
        <v>218</v>
      </c>
      <c r="C112" s="12">
        <v>249</v>
      </c>
      <c r="D112" s="9">
        <f t="shared" si="3"/>
        <v>114.12500000000001</v>
      </c>
    </row>
    <row r="113" spans="1:4" x14ac:dyDescent="0.3">
      <c r="A113" s="17" t="s">
        <v>278</v>
      </c>
      <c r="B113" s="17" t="s">
        <v>285</v>
      </c>
      <c r="C113" s="12">
        <v>289</v>
      </c>
      <c r="D113" s="9">
        <f t="shared" si="3"/>
        <v>132.45833333333334</v>
      </c>
    </row>
    <row r="114" spans="1:4" x14ac:dyDescent="0.3">
      <c r="A114" s="17" t="s">
        <v>208</v>
      </c>
      <c r="B114" s="17" t="s">
        <v>220</v>
      </c>
      <c r="C114" s="12">
        <v>249</v>
      </c>
      <c r="D114" s="9">
        <f t="shared" si="3"/>
        <v>114.12500000000001</v>
      </c>
    </row>
    <row r="115" spans="1:4" x14ac:dyDescent="0.3">
      <c r="A115" s="17" t="s">
        <v>274</v>
      </c>
      <c r="B115" s="17" t="s">
        <v>281</v>
      </c>
      <c r="C115" s="12">
        <v>289</v>
      </c>
      <c r="D115" s="9">
        <f t="shared" si="3"/>
        <v>132.45833333333334</v>
      </c>
    </row>
    <row r="116" spans="1:4" x14ac:dyDescent="0.3">
      <c r="A116" s="17" t="s">
        <v>209</v>
      </c>
      <c r="B116" s="17" t="s">
        <v>221</v>
      </c>
      <c r="C116" s="12">
        <v>249</v>
      </c>
      <c r="D116" s="9">
        <f t="shared" si="3"/>
        <v>114.12500000000001</v>
      </c>
    </row>
    <row r="117" spans="1:4" x14ac:dyDescent="0.3">
      <c r="A117" s="17" t="s">
        <v>275</v>
      </c>
      <c r="B117" s="17" t="s">
        <v>282</v>
      </c>
      <c r="C117" s="12">
        <v>289</v>
      </c>
      <c r="D117" s="9">
        <f t="shared" si="3"/>
        <v>132.45833333333334</v>
      </c>
    </row>
    <row r="118" spans="1:4" x14ac:dyDescent="0.3">
      <c r="A118" s="17" t="s">
        <v>211</v>
      </c>
      <c r="B118" s="17" t="s">
        <v>219</v>
      </c>
      <c r="C118" s="12">
        <v>279</v>
      </c>
      <c r="D118" s="9">
        <f t="shared" si="3"/>
        <v>127.87500000000001</v>
      </c>
    </row>
    <row r="119" spans="1:4" x14ac:dyDescent="0.3">
      <c r="A119" s="17" t="s">
        <v>279</v>
      </c>
      <c r="B119" s="17" t="s">
        <v>286</v>
      </c>
      <c r="C119" s="12">
        <v>319</v>
      </c>
      <c r="D119" s="9">
        <f t="shared" si="3"/>
        <v>146.20833333333337</v>
      </c>
    </row>
    <row r="120" spans="1:4" x14ac:dyDescent="0.3">
      <c r="A120" s="17" t="s">
        <v>210</v>
      </c>
      <c r="B120" s="17" t="s">
        <v>222</v>
      </c>
      <c r="C120" s="12">
        <v>279</v>
      </c>
      <c r="D120" s="9">
        <f t="shared" si="3"/>
        <v>127.87500000000001</v>
      </c>
    </row>
    <row r="121" spans="1:4" x14ac:dyDescent="0.3">
      <c r="A121" s="17" t="s">
        <v>277</v>
      </c>
      <c r="B121" s="17" t="s">
        <v>284</v>
      </c>
      <c r="C121" s="12">
        <v>319</v>
      </c>
      <c r="D121" s="9">
        <f t="shared" si="3"/>
        <v>146.20833333333337</v>
      </c>
    </row>
    <row r="122" spans="1:4" x14ac:dyDescent="0.3">
      <c r="A122" s="17" t="s">
        <v>280</v>
      </c>
      <c r="B122" s="17" t="s">
        <v>287</v>
      </c>
      <c r="C122" s="12">
        <v>319</v>
      </c>
      <c r="D122" s="9">
        <f t="shared" si="3"/>
        <v>146.20833333333337</v>
      </c>
    </row>
    <row r="123" spans="1:4" x14ac:dyDescent="0.3">
      <c r="A123" s="17" t="s">
        <v>276</v>
      </c>
      <c r="B123" s="17" t="s">
        <v>283</v>
      </c>
      <c r="C123" s="12">
        <v>319</v>
      </c>
      <c r="D123" s="9">
        <f t="shared" si="3"/>
        <v>146.20833333333337</v>
      </c>
    </row>
    <row r="124" spans="1:4" x14ac:dyDescent="0.3">
      <c r="A124" s="17" t="s">
        <v>288</v>
      </c>
      <c r="B124" s="17" t="s">
        <v>291</v>
      </c>
      <c r="C124" s="12">
        <v>349</v>
      </c>
      <c r="D124" s="9">
        <f t="shared" si="3"/>
        <v>159.95833333333337</v>
      </c>
    </row>
    <row r="125" spans="1:4" x14ac:dyDescent="0.3">
      <c r="A125" s="17" t="s">
        <v>289</v>
      </c>
      <c r="B125" s="17" t="s">
        <v>292</v>
      </c>
      <c r="C125" s="12">
        <v>349</v>
      </c>
      <c r="D125" s="9">
        <f t="shared" si="3"/>
        <v>159.95833333333337</v>
      </c>
    </row>
    <row r="126" spans="1:4" x14ac:dyDescent="0.3">
      <c r="A126" s="17" t="s">
        <v>290</v>
      </c>
      <c r="B126" s="17" t="s">
        <v>293</v>
      </c>
      <c r="C126" s="12">
        <v>349</v>
      </c>
      <c r="D126" s="9">
        <f t="shared" si="3"/>
        <v>159.95833333333337</v>
      </c>
    </row>
    <row r="127" spans="1:4" x14ac:dyDescent="0.3">
      <c r="A127" s="17" t="s">
        <v>254</v>
      </c>
      <c r="B127" s="17" t="s">
        <v>257</v>
      </c>
      <c r="C127" s="12">
        <v>349</v>
      </c>
      <c r="D127" s="9">
        <f t="shared" si="3"/>
        <v>159.95833333333337</v>
      </c>
    </row>
    <row r="128" spans="1:4" x14ac:dyDescent="0.3">
      <c r="A128" s="17" t="s">
        <v>255</v>
      </c>
      <c r="B128" s="17" t="s">
        <v>258</v>
      </c>
      <c r="C128" s="12">
        <v>349</v>
      </c>
      <c r="D128" s="9">
        <f t="shared" si="3"/>
        <v>159.95833333333337</v>
      </c>
    </row>
    <row r="129" spans="1:4" x14ac:dyDescent="0.3">
      <c r="A129" s="17" t="s">
        <v>256</v>
      </c>
      <c r="B129" s="17" t="s">
        <v>259</v>
      </c>
      <c r="C129" s="12">
        <v>349</v>
      </c>
      <c r="D129" s="9">
        <f t="shared" si="3"/>
        <v>159.95833333333337</v>
      </c>
    </row>
    <row r="130" spans="1:4" x14ac:dyDescent="0.3">
      <c r="A130" s="17" t="s">
        <v>198</v>
      </c>
      <c r="B130" s="17" t="s">
        <v>201</v>
      </c>
      <c r="C130" s="12">
        <v>549</v>
      </c>
      <c r="D130" s="9">
        <f t="shared" si="3"/>
        <v>251.62500000000003</v>
      </c>
    </row>
    <row r="131" spans="1:4" x14ac:dyDescent="0.3">
      <c r="A131" s="17" t="s">
        <v>199</v>
      </c>
      <c r="B131" s="17" t="s">
        <v>200</v>
      </c>
      <c r="C131" s="12">
        <v>549</v>
      </c>
      <c r="D131" s="9">
        <f t="shared" si="3"/>
        <v>251.62500000000003</v>
      </c>
    </row>
    <row r="132" spans="1:4" x14ac:dyDescent="0.3">
      <c r="A132" s="17" t="s">
        <v>197</v>
      </c>
      <c r="B132" s="17" t="s">
        <v>202</v>
      </c>
      <c r="C132" s="12">
        <v>549</v>
      </c>
      <c r="D132" s="9">
        <f t="shared" si="3"/>
        <v>251.62500000000003</v>
      </c>
    </row>
    <row r="133" spans="1:4" x14ac:dyDescent="0.3">
      <c r="A133" s="17" t="s">
        <v>304</v>
      </c>
      <c r="B133" s="17" t="s">
        <v>309</v>
      </c>
      <c r="C133" s="12">
        <v>269</v>
      </c>
      <c r="D133" s="9">
        <f t="shared" si="3"/>
        <v>123.29166666666669</v>
      </c>
    </row>
    <row r="134" spans="1:4" x14ac:dyDescent="0.3">
      <c r="A134" s="17" t="s">
        <v>305</v>
      </c>
      <c r="B134" s="17" t="s">
        <v>307</v>
      </c>
      <c r="C134" s="12">
        <v>299</v>
      </c>
      <c r="D134" s="9">
        <f t="shared" si="3"/>
        <v>137.04166666666669</v>
      </c>
    </row>
    <row r="135" spans="1:4" x14ac:dyDescent="0.3">
      <c r="A135" s="17" t="s">
        <v>306</v>
      </c>
      <c r="B135" s="17" t="s">
        <v>308</v>
      </c>
      <c r="C135" s="12">
        <v>299</v>
      </c>
      <c r="D135" s="9">
        <f t="shared" si="3"/>
        <v>137.04166666666669</v>
      </c>
    </row>
    <row r="136" spans="1:4" x14ac:dyDescent="0.3">
      <c r="A136" s="17" t="s">
        <v>223</v>
      </c>
      <c r="B136" s="17" t="s">
        <v>225</v>
      </c>
      <c r="C136" s="12">
        <v>319</v>
      </c>
      <c r="D136" s="9">
        <f t="shared" si="3"/>
        <v>146.20833333333337</v>
      </c>
    </row>
    <row r="137" spans="1:4" x14ac:dyDescent="0.3">
      <c r="A137" s="17" t="s">
        <v>224</v>
      </c>
      <c r="B137" s="17" t="s">
        <v>226</v>
      </c>
      <c r="C137" s="12">
        <v>349</v>
      </c>
      <c r="D137" s="9">
        <f t="shared" ref="D137:D168" si="4">C137/1.2*0.55</f>
        <v>159.95833333333337</v>
      </c>
    </row>
    <row r="138" spans="1:4" x14ac:dyDescent="0.3">
      <c r="A138" s="17" t="s">
        <v>238</v>
      </c>
      <c r="B138" s="17" t="s">
        <v>241</v>
      </c>
      <c r="C138" s="12">
        <v>349</v>
      </c>
      <c r="D138" s="9">
        <f t="shared" si="4"/>
        <v>159.95833333333337</v>
      </c>
    </row>
    <row r="139" spans="1:4" x14ac:dyDescent="0.3">
      <c r="A139" s="17" t="s">
        <v>236</v>
      </c>
      <c r="B139" s="17" t="s">
        <v>239</v>
      </c>
      <c r="C139" s="12">
        <v>349</v>
      </c>
      <c r="D139" s="9">
        <f t="shared" si="4"/>
        <v>159.95833333333337</v>
      </c>
    </row>
    <row r="140" spans="1:4" x14ac:dyDescent="0.3">
      <c r="A140" s="17" t="s">
        <v>237</v>
      </c>
      <c r="B140" s="17" t="s">
        <v>240</v>
      </c>
      <c r="C140" s="12">
        <v>349</v>
      </c>
      <c r="D140" s="9">
        <f t="shared" si="4"/>
        <v>159.95833333333337</v>
      </c>
    </row>
    <row r="141" spans="1:4" x14ac:dyDescent="0.3">
      <c r="A141" s="17" t="s">
        <v>147</v>
      </c>
      <c r="B141" s="17" t="s">
        <v>165</v>
      </c>
      <c r="C141" s="12">
        <v>279</v>
      </c>
      <c r="D141" s="9">
        <f t="shared" si="4"/>
        <v>127.87500000000001</v>
      </c>
    </row>
    <row r="142" spans="1:4" x14ac:dyDescent="0.3">
      <c r="A142" s="17" t="s">
        <v>148</v>
      </c>
      <c r="B142" s="17" t="s">
        <v>168</v>
      </c>
      <c r="C142" s="12">
        <v>299</v>
      </c>
      <c r="D142" s="9">
        <f t="shared" si="4"/>
        <v>137.04166666666669</v>
      </c>
    </row>
    <row r="143" spans="1:4" x14ac:dyDescent="0.3">
      <c r="A143" s="17" t="s">
        <v>149</v>
      </c>
      <c r="B143" s="17" t="s">
        <v>167</v>
      </c>
      <c r="C143" s="12">
        <v>299</v>
      </c>
      <c r="D143" s="9">
        <f t="shared" si="4"/>
        <v>137.04166666666669</v>
      </c>
    </row>
    <row r="144" spans="1:4" x14ac:dyDescent="0.3">
      <c r="A144" s="17" t="s">
        <v>150</v>
      </c>
      <c r="B144" s="17" t="s">
        <v>166</v>
      </c>
      <c r="C144" s="12">
        <v>299</v>
      </c>
      <c r="D144" s="9">
        <f t="shared" si="4"/>
        <v>137.04166666666669</v>
      </c>
    </row>
    <row r="145" spans="1:4" x14ac:dyDescent="0.3">
      <c r="A145" s="17" t="s">
        <v>151</v>
      </c>
      <c r="B145" s="17" t="s">
        <v>157</v>
      </c>
      <c r="C145" s="12">
        <v>399</v>
      </c>
      <c r="D145" s="9">
        <f t="shared" si="4"/>
        <v>182.87500000000003</v>
      </c>
    </row>
    <row r="146" spans="1:4" x14ac:dyDescent="0.3">
      <c r="A146" s="17" t="s">
        <v>152</v>
      </c>
      <c r="B146" s="17" t="s">
        <v>158</v>
      </c>
      <c r="C146" s="12">
        <v>399</v>
      </c>
      <c r="D146" s="9">
        <f t="shared" si="4"/>
        <v>182.87500000000003</v>
      </c>
    </row>
    <row r="147" spans="1:4" x14ac:dyDescent="0.3">
      <c r="A147" s="17" t="s">
        <v>153</v>
      </c>
      <c r="B147" s="17" t="s">
        <v>159</v>
      </c>
      <c r="C147" s="12">
        <v>399</v>
      </c>
      <c r="D147" s="9">
        <f t="shared" si="4"/>
        <v>182.87500000000003</v>
      </c>
    </row>
    <row r="148" spans="1:4" x14ac:dyDescent="0.3">
      <c r="A148" s="17" t="s">
        <v>228</v>
      </c>
      <c r="B148" s="18" t="s">
        <v>229</v>
      </c>
      <c r="C148" s="13">
        <v>715</v>
      </c>
      <c r="D148" s="9">
        <f t="shared" si="4"/>
        <v>327.70833333333337</v>
      </c>
    </row>
    <row r="149" spans="1:4" x14ac:dyDescent="0.3">
      <c r="A149" s="17" t="s">
        <v>144</v>
      </c>
      <c r="B149" s="17" t="s">
        <v>156</v>
      </c>
      <c r="C149" s="12">
        <v>339</v>
      </c>
      <c r="D149" s="9">
        <f t="shared" si="4"/>
        <v>155.375</v>
      </c>
    </row>
    <row r="150" spans="1:4" x14ac:dyDescent="0.3">
      <c r="A150" s="17" t="s">
        <v>145</v>
      </c>
      <c r="B150" s="17" t="s">
        <v>154</v>
      </c>
      <c r="C150" s="12">
        <v>339</v>
      </c>
      <c r="D150" s="9">
        <f t="shared" si="4"/>
        <v>155.375</v>
      </c>
    </row>
    <row r="151" spans="1:4" x14ac:dyDescent="0.3">
      <c r="A151" s="17" t="s">
        <v>146</v>
      </c>
      <c r="B151" s="17" t="s">
        <v>155</v>
      </c>
      <c r="C151" s="12">
        <v>379</v>
      </c>
      <c r="D151" s="9">
        <f t="shared" si="4"/>
        <v>173.70833333333337</v>
      </c>
    </row>
    <row r="152" spans="1:4" x14ac:dyDescent="0.3">
      <c r="A152" s="17" t="s">
        <v>76</v>
      </c>
      <c r="B152" s="17" t="s">
        <v>79</v>
      </c>
      <c r="C152" s="12">
        <v>799</v>
      </c>
      <c r="D152" s="9">
        <f t="shared" si="4"/>
        <v>366.20833333333337</v>
      </c>
    </row>
    <row r="153" spans="1:4" x14ac:dyDescent="0.3">
      <c r="A153" s="17" t="s">
        <v>77</v>
      </c>
      <c r="B153" s="17" t="s">
        <v>80</v>
      </c>
      <c r="C153" s="12">
        <v>799</v>
      </c>
      <c r="D153" s="9">
        <f t="shared" si="4"/>
        <v>366.20833333333337</v>
      </c>
    </row>
    <row r="154" spans="1:4" x14ac:dyDescent="0.3">
      <c r="A154" s="17" t="s">
        <v>78</v>
      </c>
      <c r="B154" s="17" t="s">
        <v>81</v>
      </c>
      <c r="C154" s="12">
        <v>849</v>
      </c>
      <c r="D154" s="9">
        <f t="shared" si="4"/>
        <v>389.12500000000006</v>
      </c>
    </row>
    <row r="155" spans="1:4" x14ac:dyDescent="0.3">
      <c r="A155" s="18" t="s">
        <v>94</v>
      </c>
      <c r="B155" s="18" t="s">
        <v>97</v>
      </c>
      <c r="C155" s="15">
        <v>1195</v>
      </c>
      <c r="D155" s="9">
        <f t="shared" si="4"/>
        <v>547.70833333333337</v>
      </c>
    </row>
    <row r="156" spans="1:4" x14ac:dyDescent="0.3">
      <c r="A156" s="18" t="s">
        <v>95</v>
      </c>
      <c r="B156" s="18" t="s">
        <v>96</v>
      </c>
      <c r="C156" s="15">
        <v>1195</v>
      </c>
      <c r="D156" s="9">
        <f t="shared" si="4"/>
        <v>547.70833333333337</v>
      </c>
    </row>
    <row r="157" spans="1:4" x14ac:dyDescent="0.3">
      <c r="A157" s="17" t="s">
        <v>65</v>
      </c>
      <c r="B157" s="17" t="s">
        <v>68</v>
      </c>
      <c r="C157" s="14">
        <v>799</v>
      </c>
      <c r="D157" s="9">
        <f t="shared" si="4"/>
        <v>366.20833333333337</v>
      </c>
    </row>
    <row r="158" spans="1:4" x14ac:dyDescent="0.3">
      <c r="A158" s="17" t="s">
        <v>232</v>
      </c>
      <c r="B158" s="17" t="s">
        <v>233</v>
      </c>
      <c r="C158" s="14">
        <v>799</v>
      </c>
      <c r="D158" s="9">
        <f t="shared" si="4"/>
        <v>366.20833333333337</v>
      </c>
    </row>
    <row r="159" spans="1:4" x14ac:dyDescent="0.3">
      <c r="A159" s="17" t="s">
        <v>66</v>
      </c>
      <c r="B159" s="17" t="s">
        <v>69</v>
      </c>
      <c r="C159" s="14">
        <v>799</v>
      </c>
      <c r="D159" s="9">
        <f t="shared" si="4"/>
        <v>366.20833333333337</v>
      </c>
    </row>
    <row r="160" spans="1:4" x14ac:dyDescent="0.3">
      <c r="A160" s="17" t="s">
        <v>67</v>
      </c>
      <c r="B160" s="17" t="s">
        <v>70</v>
      </c>
      <c r="C160" s="14">
        <v>799</v>
      </c>
      <c r="D160" s="9">
        <f t="shared" si="4"/>
        <v>366.20833333333337</v>
      </c>
    </row>
    <row r="161" spans="1:4" x14ac:dyDescent="0.3">
      <c r="A161" s="17" t="s">
        <v>133</v>
      </c>
      <c r="B161" s="17" t="s">
        <v>135</v>
      </c>
      <c r="C161" s="12">
        <v>849</v>
      </c>
      <c r="D161" s="9">
        <f t="shared" si="4"/>
        <v>389.12500000000006</v>
      </c>
    </row>
    <row r="162" spans="1:4" x14ac:dyDescent="0.3">
      <c r="A162" s="17" t="s">
        <v>134</v>
      </c>
      <c r="B162" s="17" t="s">
        <v>136</v>
      </c>
      <c r="C162" s="12">
        <v>849</v>
      </c>
      <c r="D162" s="9">
        <f t="shared" si="4"/>
        <v>389.12500000000006</v>
      </c>
    </row>
    <row r="163" spans="1:4" x14ac:dyDescent="0.3">
      <c r="A163" s="17" t="s">
        <v>112</v>
      </c>
      <c r="B163" s="17" t="s">
        <v>115</v>
      </c>
      <c r="C163" s="12">
        <v>329</v>
      </c>
      <c r="D163" s="9">
        <f t="shared" si="4"/>
        <v>150.79166666666669</v>
      </c>
    </row>
    <row r="164" spans="1:4" x14ac:dyDescent="0.3">
      <c r="A164" s="17" t="s">
        <v>113</v>
      </c>
      <c r="B164" s="17" t="s">
        <v>116</v>
      </c>
      <c r="C164" s="12">
        <v>329</v>
      </c>
      <c r="D164" s="9">
        <f t="shared" si="4"/>
        <v>150.79166666666669</v>
      </c>
    </row>
    <row r="165" spans="1:4" x14ac:dyDescent="0.3">
      <c r="A165" s="17" t="s">
        <v>114</v>
      </c>
      <c r="B165" s="17" t="s">
        <v>117</v>
      </c>
      <c r="C165" s="12">
        <v>329</v>
      </c>
      <c r="D165" s="9">
        <f t="shared" si="4"/>
        <v>150.79166666666669</v>
      </c>
    </row>
    <row r="166" spans="1:4" x14ac:dyDescent="0.3">
      <c r="A166" s="18" t="s">
        <v>370</v>
      </c>
      <c r="B166" s="18" t="s">
        <v>371</v>
      </c>
      <c r="C166" s="15">
        <v>379</v>
      </c>
      <c r="D166" s="9">
        <f t="shared" si="4"/>
        <v>173.70833333333337</v>
      </c>
    </row>
    <row r="167" spans="1:4" x14ac:dyDescent="0.3">
      <c r="A167" s="17" t="s">
        <v>118</v>
      </c>
      <c r="B167" s="17" t="s">
        <v>122</v>
      </c>
      <c r="C167" s="12">
        <v>319</v>
      </c>
      <c r="D167" s="9">
        <f t="shared" si="4"/>
        <v>146.20833333333337</v>
      </c>
    </row>
    <row r="168" spans="1:4" x14ac:dyDescent="0.3">
      <c r="A168" s="18" t="s">
        <v>372</v>
      </c>
      <c r="B168" s="18" t="s">
        <v>373</v>
      </c>
      <c r="C168" s="15">
        <v>319</v>
      </c>
      <c r="D168" s="9">
        <f t="shared" si="4"/>
        <v>146.20833333333337</v>
      </c>
    </row>
    <row r="169" spans="1:4" x14ac:dyDescent="0.3">
      <c r="A169" s="17" t="s">
        <v>119</v>
      </c>
      <c r="B169" s="17" t="s">
        <v>123</v>
      </c>
      <c r="C169" s="12">
        <v>319</v>
      </c>
      <c r="D169" s="9">
        <f t="shared" ref="D169:D200" si="5">C169/1.2*0.55</f>
        <v>146.20833333333337</v>
      </c>
    </row>
    <row r="170" spans="1:4" x14ac:dyDescent="0.3">
      <c r="A170" s="17" t="s">
        <v>120</v>
      </c>
      <c r="B170" s="17" t="s">
        <v>124</v>
      </c>
      <c r="C170" s="12">
        <v>369</v>
      </c>
      <c r="D170" s="9">
        <f t="shared" si="5"/>
        <v>169.125</v>
      </c>
    </row>
    <row r="171" spans="1:4" x14ac:dyDescent="0.3">
      <c r="A171" s="17" t="s">
        <v>121</v>
      </c>
      <c r="B171" s="17" t="s">
        <v>125</v>
      </c>
      <c r="C171" s="12">
        <v>369</v>
      </c>
      <c r="D171" s="9">
        <f t="shared" si="5"/>
        <v>169.125</v>
      </c>
    </row>
    <row r="172" spans="1:4" x14ac:dyDescent="0.3">
      <c r="A172" s="18" t="s">
        <v>374</v>
      </c>
      <c r="B172" s="18" t="s">
        <v>375</v>
      </c>
      <c r="C172" s="15">
        <v>369</v>
      </c>
      <c r="D172" s="9">
        <f t="shared" si="5"/>
        <v>169.125</v>
      </c>
    </row>
    <row r="173" spans="1:4" x14ac:dyDescent="0.3">
      <c r="A173" s="17" t="s">
        <v>181</v>
      </c>
      <c r="B173" s="17" t="s">
        <v>185</v>
      </c>
      <c r="C173" s="12">
        <v>339</v>
      </c>
      <c r="D173" s="9">
        <f t="shared" si="5"/>
        <v>155.375</v>
      </c>
    </row>
    <row r="174" spans="1:4" x14ac:dyDescent="0.3">
      <c r="A174" s="17" t="s">
        <v>100</v>
      </c>
      <c r="B174" s="18" t="s">
        <v>106</v>
      </c>
      <c r="C174" s="10">
        <v>369</v>
      </c>
      <c r="D174" s="9">
        <f t="shared" si="5"/>
        <v>169.125</v>
      </c>
    </row>
    <row r="175" spans="1:4" x14ac:dyDescent="0.3">
      <c r="A175" s="17" t="s">
        <v>182</v>
      </c>
      <c r="B175" s="17" t="s">
        <v>187</v>
      </c>
      <c r="C175" s="12">
        <v>339</v>
      </c>
      <c r="D175" s="9">
        <f t="shared" si="5"/>
        <v>155.375</v>
      </c>
    </row>
    <row r="176" spans="1:4" x14ac:dyDescent="0.3">
      <c r="A176" s="17" t="s">
        <v>183</v>
      </c>
      <c r="B176" s="17" t="s">
        <v>186</v>
      </c>
      <c r="C176" s="12">
        <v>339</v>
      </c>
      <c r="D176" s="9">
        <f t="shared" si="5"/>
        <v>155.375</v>
      </c>
    </row>
    <row r="177" spans="1:4" x14ac:dyDescent="0.3">
      <c r="A177" s="17" t="s">
        <v>101</v>
      </c>
      <c r="B177" s="18" t="s">
        <v>107</v>
      </c>
      <c r="C177" s="10">
        <v>369</v>
      </c>
      <c r="D177" s="9">
        <f t="shared" si="5"/>
        <v>169.125</v>
      </c>
    </row>
    <row r="178" spans="1:4" x14ac:dyDescent="0.3">
      <c r="A178" s="17" t="s">
        <v>102</v>
      </c>
      <c r="B178" s="18" t="s">
        <v>108</v>
      </c>
      <c r="C178" s="10">
        <v>369</v>
      </c>
      <c r="D178" s="9">
        <f t="shared" si="5"/>
        <v>169.125</v>
      </c>
    </row>
    <row r="179" spans="1:4" x14ac:dyDescent="0.3">
      <c r="A179" s="17" t="s">
        <v>103</v>
      </c>
      <c r="B179" s="18" t="s">
        <v>109</v>
      </c>
      <c r="C179" s="10">
        <v>399</v>
      </c>
      <c r="D179" s="9">
        <f t="shared" si="5"/>
        <v>182.87500000000003</v>
      </c>
    </row>
    <row r="180" spans="1:4" x14ac:dyDescent="0.3">
      <c r="A180" s="17" t="s">
        <v>104</v>
      </c>
      <c r="B180" s="18" t="s">
        <v>110</v>
      </c>
      <c r="C180" s="10">
        <v>399</v>
      </c>
      <c r="D180" s="9">
        <f t="shared" si="5"/>
        <v>182.87500000000003</v>
      </c>
    </row>
    <row r="181" spans="1:4" x14ac:dyDescent="0.3">
      <c r="A181" s="17" t="s">
        <v>184</v>
      </c>
      <c r="B181" s="17" t="s">
        <v>188</v>
      </c>
      <c r="C181" s="12">
        <v>359</v>
      </c>
      <c r="D181" s="9">
        <f t="shared" si="5"/>
        <v>164.54166666666669</v>
      </c>
    </row>
    <row r="182" spans="1:4" x14ac:dyDescent="0.3">
      <c r="A182" s="17" t="s">
        <v>105</v>
      </c>
      <c r="B182" s="18" t="s">
        <v>111</v>
      </c>
      <c r="C182" s="10">
        <v>399</v>
      </c>
      <c r="D182" s="9">
        <f t="shared" si="5"/>
        <v>182.87500000000003</v>
      </c>
    </row>
    <row r="183" spans="1:4" x14ac:dyDescent="0.3">
      <c r="A183" s="17" t="s">
        <v>127</v>
      </c>
      <c r="B183" s="17" t="s">
        <v>169</v>
      </c>
      <c r="C183" s="12">
        <v>729</v>
      </c>
      <c r="D183" s="9">
        <f t="shared" si="5"/>
        <v>334.125</v>
      </c>
    </row>
    <row r="184" spans="1:4" x14ac:dyDescent="0.3">
      <c r="A184" s="17" t="s">
        <v>128</v>
      </c>
      <c r="B184" s="17" t="s">
        <v>171</v>
      </c>
      <c r="C184" s="12">
        <v>729</v>
      </c>
      <c r="D184" s="9">
        <f t="shared" si="5"/>
        <v>334.125</v>
      </c>
    </row>
    <row r="185" spans="1:4" x14ac:dyDescent="0.3">
      <c r="A185" s="17" t="s">
        <v>129</v>
      </c>
      <c r="B185" s="17" t="s">
        <v>170</v>
      </c>
      <c r="C185" s="12">
        <v>729</v>
      </c>
      <c r="D185" s="9">
        <f t="shared" si="5"/>
        <v>334.125</v>
      </c>
    </row>
    <row r="186" spans="1:4" x14ac:dyDescent="0.3">
      <c r="A186" s="17" t="s">
        <v>130</v>
      </c>
      <c r="B186" s="17" t="s">
        <v>172</v>
      </c>
      <c r="C186" s="12">
        <v>769</v>
      </c>
      <c r="D186" s="9">
        <f t="shared" si="5"/>
        <v>352.45833333333337</v>
      </c>
    </row>
    <row r="187" spans="1:4" x14ac:dyDescent="0.3">
      <c r="A187" s="17" t="s">
        <v>131</v>
      </c>
      <c r="B187" s="17" t="s">
        <v>173</v>
      </c>
      <c r="C187" s="12">
        <v>769</v>
      </c>
      <c r="D187" s="9">
        <f t="shared" si="5"/>
        <v>352.45833333333337</v>
      </c>
    </row>
    <row r="188" spans="1:4" x14ac:dyDescent="0.3">
      <c r="A188" s="17" t="s">
        <v>132</v>
      </c>
      <c r="B188" s="17" t="s">
        <v>174</v>
      </c>
      <c r="C188" s="12">
        <v>769</v>
      </c>
      <c r="D188" s="9">
        <f t="shared" si="5"/>
        <v>352.45833333333337</v>
      </c>
    </row>
    <row r="189" spans="1:4" x14ac:dyDescent="0.3">
      <c r="A189" s="17" t="s">
        <v>141</v>
      </c>
      <c r="B189" s="17" t="s">
        <v>161</v>
      </c>
      <c r="C189" s="12">
        <v>729</v>
      </c>
      <c r="D189" s="9">
        <f t="shared" si="5"/>
        <v>334.125</v>
      </c>
    </row>
    <row r="190" spans="1:4" x14ac:dyDescent="0.3">
      <c r="A190" s="17" t="s">
        <v>164</v>
      </c>
      <c r="B190" s="17" t="s">
        <v>163</v>
      </c>
      <c r="C190" s="12">
        <v>769</v>
      </c>
      <c r="D190" s="9">
        <f t="shared" si="5"/>
        <v>352.45833333333337</v>
      </c>
    </row>
    <row r="191" spans="1:4" x14ac:dyDescent="0.3">
      <c r="A191" s="17" t="s">
        <v>142</v>
      </c>
      <c r="B191" s="17" t="s">
        <v>160</v>
      </c>
      <c r="C191" s="12">
        <v>769</v>
      </c>
      <c r="D191" s="9">
        <f t="shared" si="5"/>
        <v>352.45833333333337</v>
      </c>
    </row>
    <row r="192" spans="1:4" ht="15" thickBot="1" x14ac:dyDescent="0.35">
      <c r="A192" s="19" t="s">
        <v>143</v>
      </c>
      <c r="B192" s="19" t="s">
        <v>162</v>
      </c>
      <c r="C192" s="16">
        <v>769</v>
      </c>
      <c r="D192" s="11">
        <f t="shared" si="5"/>
        <v>352.45833333333337</v>
      </c>
    </row>
  </sheetData>
  <autoFilter ref="A8:D8" xr:uid="{00000000-0001-0000-0100-000000000000}">
    <sortState xmlns:xlrd2="http://schemas.microsoft.com/office/spreadsheetml/2017/richdata2" ref="A9:D192">
      <sortCondition ref="A8"/>
    </sortState>
  </autoFilter>
  <sortState xmlns:xlrd2="http://schemas.microsoft.com/office/spreadsheetml/2017/richdata2" ref="A10:C88">
    <sortCondition ref="A10:A88"/>
  </sortState>
  <mergeCells count="6">
    <mergeCell ref="A1:D1"/>
    <mergeCell ref="A2:D2"/>
    <mergeCell ref="A6:D6"/>
    <mergeCell ref="A5:D5"/>
    <mergeCell ref="A4:D4"/>
    <mergeCell ref="A3:D3"/>
  </mergeCells>
  <phoneticPr fontId="5" type="noConversion"/>
  <pageMargins left="0.70866141732283472" right="0.70866141732283472" top="0.74803149606299213" bottom="0.74803149606299213" header="0.31496062992125984" footer="0.31496062992125984"/>
  <pageSetup scale="59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Bulova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 Harris</dc:creator>
  <cp:lastModifiedBy>Duncan Harris</cp:lastModifiedBy>
  <cp:lastPrinted>2025-10-09T10:53:43Z</cp:lastPrinted>
  <dcterms:created xsi:type="dcterms:W3CDTF">2013-11-13T13:32:45Z</dcterms:created>
  <dcterms:modified xsi:type="dcterms:W3CDTF">2025-10-09T10:54:28Z</dcterms:modified>
</cp:coreProperties>
</file>
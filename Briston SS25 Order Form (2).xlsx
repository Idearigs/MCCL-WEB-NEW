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7325dca92ed8f7/Desktop/Time and More/BRANDS/Briston/Ranges/SS25/"/>
    </mc:Choice>
  </mc:AlternateContent>
  <xr:revisionPtr revIDLastSave="1" documentId="8_{002AEDBB-4497-4BA1-90C4-C02DEE844FEE}" xr6:coauthVersionLast="47" xr6:coauthVersionMax="47" xr10:uidLastSave="{FF8CA00F-D061-4D25-B908-E4EC12382354}"/>
  <bookViews>
    <workbookView xWindow="28680" yWindow="-120" windowWidth="29040" windowHeight="15720" xr2:uid="{DE89FD33-E577-4768-939D-8FA8B5603089}"/>
  </bookViews>
  <sheets>
    <sheet name="Price List" sheetId="1" r:id="rId1"/>
  </sheets>
  <definedNames>
    <definedName name="_xlnm._FilterDatabase" localSheetId="0" hidden="1">'Price List'!$A$8:$E$101</definedName>
    <definedName name="_xlnm.Print_Area" localSheetId="0">'Price List'!$A$1:$E$101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9" i="1"/>
  <c r="H102" i="1" l="1"/>
  <c r="E17" i="1" l="1"/>
  <c r="E16" i="1"/>
  <c r="E15" i="1"/>
  <c r="E87" i="1"/>
  <c r="E54" i="1"/>
  <c r="E55" i="1"/>
  <c r="E56" i="1"/>
  <c r="E88" i="1"/>
  <c r="E61" i="1"/>
  <c r="E62" i="1"/>
  <c r="E92" i="1"/>
  <c r="E11" i="1"/>
  <c r="E18" i="1"/>
  <c r="E12" i="1"/>
  <c r="E45" i="1"/>
  <c r="E91" i="1"/>
  <c r="E94" i="1"/>
  <c r="E58" i="1"/>
  <c r="E93" i="1"/>
  <c r="E95" i="1"/>
  <c r="E19" i="1"/>
  <c r="E14" i="1"/>
  <c r="E46" i="1"/>
  <c r="E47" i="1"/>
  <c r="E82" i="1"/>
  <c r="E49" i="1"/>
  <c r="E50" i="1"/>
  <c r="E51" i="1"/>
  <c r="E52" i="1"/>
  <c r="E53" i="1"/>
  <c r="E48" i="1"/>
  <c r="E57" i="1"/>
  <c r="E60" i="1"/>
  <c r="E59" i="1"/>
  <c r="E85" i="1"/>
  <c r="E86" i="1"/>
  <c r="E13" i="1"/>
  <c r="E10" i="1"/>
  <c r="E27" i="1"/>
  <c r="E29" i="1"/>
  <c r="E28" i="1"/>
  <c r="E30" i="1"/>
  <c r="E31" i="1"/>
  <c r="E83" i="1"/>
  <c r="E84" i="1"/>
  <c r="E89" i="1"/>
  <c r="E20" i="1"/>
  <c r="E21" i="1"/>
  <c r="E22" i="1"/>
  <c r="E25" i="1"/>
  <c r="E26" i="1"/>
  <c r="E23" i="1"/>
  <c r="E24" i="1"/>
  <c r="E63" i="1"/>
  <c r="E64" i="1"/>
  <c r="E65" i="1"/>
  <c r="E39" i="1"/>
  <c r="E40" i="1"/>
  <c r="E41" i="1"/>
  <c r="E42" i="1"/>
  <c r="E90" i="1"/>
  <c r="E96" i="1"/>
  <c r="E97" i="1"/>
  <c r="E34" i="1"/>
  <c r="E35" i="1"/>
  <c r="E71" i="1"/>
  <c r="E74" i="1"/>
  <c r="E75" i="1"/>
  <c r="E73" i="1"/>
  <c r="E76" i="1"/>
  <c r="E72" i="1"/>
  <c r="E32" i="1"/>
  <c r="E33" i="1"/>
  <c r="E100" i="1"/>
  <c r="E66" i="1"/>
  <c r="E69" i="1"/>
  <c r="E70" i="1"/>
  <c r="E68" i="1"/>
  <c r="E99" i="1"/>
  <c r="E67" i="1"/>
  <c r="E101" i="1"/>
  <c r="E98" i="1"/>
  <c r="E78" i="1"/>
  <c r="E77" i="1"/>
  <c r="E37" i="1"/>
  <c r="E38" i="1"/>
  <c r="E44" i="1"/>
  <c r="E36" i="1"/>
  <c r="E43" i="1"/>
  <c r="E79" i="1"/>
  <c r="E81" i="1"/>
  <c r="E80" i="1"/>
  <c r="E9" i="1"/>
</calcChain>
</file>

<file path=xl/sharedStrings.xml><?xml version="1.0" encoding="utf-8"?>
<sst xmlns="http://schemas.openxmlformats.org/spreadsheetml/2006/main" count="291" uniqueCount="187">
  <si>
    <t>13140.SA.T.1.NK</t>
  </si>
  <si>
    <t>16140.SA.T.2.NGA</t>
  </si>
  <si>
    <t>15140.SA.T.9.NNB</t>
  </si>
  <si>
    <t>15140.SA.T.10.NBG</t>
  </si>
  <si>
    <t>RRP</t>
  </si>
  <si>
    <t>19140.SA.T.25.NIB</t>
  </si>
  <si>
    <t>19140.SA.T.26.NOL</t>
  </si>
  <si>
    <t>19140.SA.T.30.NT</t>
  </si>
  <si>
    <t>20140.SA.T.37.NTCH</t>
  </si>
  <si>
    <t>20140.SA.T.38.NTC</t>
  </si>
  <si>
    <t>14140.PRA.T.1.NB</t>
  </si>
  <si>
    <t>17140.PRA.T.2.NB</t>
  </si>
  <si>
    <t>14140.PRA.T.6.NB</t>
  </si>
  <si>
    <t>19140.PRA.T.26.NOL</t>
  </si>
  <si>
    <t>20140.PRAT.37.NTCH</t>
  </si>
  <si>
    <t>20140.PRA.T.38.NTC</t>
  </si>
  <si>
    <t>17140.PYA.T.2.NB</t>
  </si>
  <si>
    <t>15140.PYA.T.10.NBG</t>
  </si>
  <si>
    <t>19140.PYA.T.25.NIB</t>
  </si>
  <si>
    <t>19140.PYA.T.26.NOL</t>
  </si>
  <si>
    <t>19140.PYA.T.27.NE</t>
  </si>
  <si>
    <t>19140.PYA.T.28.NBER</t>
  </si>
  <si>
    <t>19140.PYA.T.29.NGW</t>
  </si>
  <si>
    <t>19140.PYA.T.30.NT</t>
  </si>
  <si>
    <t>19140.PYA.T.31.NBD</t>
  </si>
  <si>
    <t>19140.PYA.T.32.NC</t>
  </si>
  <si>
    <t>20140.PYAT.37.NTCH</t>
  </si>
  <si>
    <t>20140.PYA.T.38.NTC</t>
  </si>
  <si>
    <t>15140.PBAM.GT.3.NG</t>
  </si>
  <si>
    <t>14140.PBAM.TS.5.NK</t>
  </si>
  <si>
    <t>17142.SA.BS.1.NB</t>
  </si>
  <si>
    <t>17142.SA.BS.2.NB</t>
  </si>
  <si>
    <t>17142.SA.TS.1.NK</t>
  </si>
  <si>
    <t>17142.SA.TS.2.NGA</t>
  </si>
  <si>
    <t>17142.SA.TS.9.NNB</t>
  </si>
  <si>
    <t>17142.SA.TS.10.NBG</t>
  </si>
  <si>
    <t>17142.SA.TS.11.NG</t>
  </si>
  <si>
    <t>20142.SA.TS.25.NIB</t>
  </si>
  <si>
    <t>20142.SA.TS.26.NOL</t>
  </si>
  <si>
    <t>20142.SA.TS.30.NT</t>
  </si>
  <si>
    <t>18142.PBAM.BS.4.NB</t>
  </si>
  <si>
    <t>18142.PBAM.GTS.3.NG</t>
  </si>
  <si>
    <t>18142.PBAM.TSS.5.NK</t>
  </si>
  <si>
    <t>18142.PKAM.TJS.19.NJ</t>
  </si>
  <si>
    <t>22142.S.T.1.RB</t>
  </si>
  <si>
    <t>22142.S.T.2.RB</t>
  </si>
  <si>
    <t>22142.S.T.15.RNB</t>
  </si>
  <si>
    <t>22937.SA.T.1.LNB</t>
  </si>
  <si>
    <t>22937.SA.T.2.LNT</t>
  </si>
  <si>
    <t>22937.PRA.T.1.LNB</t>
  </si>
  <si>
    <t>22937.PRA.T.2.LNT</t>
  </si>
  <si>
    <t>17536.SA.T.1.NB</t>
  </si>
  <si>
    <t>17536.SA.T.2.NT</t>
  </si>
  <si>
    <t>21536.SA.UB.25.NIB</t>
  </si>
  <si>
    <t>21536.SA.UG.26.NOL</t>
  </si>
  <si>
    <t>21536.SA.UGW.29.NGW</t>
  </si>
  <si>
    <t>21536.SA.UBR.30.NT</t>
  </si>
  <si>
    <t>21536.SA.UR.32.NC</t>
  </si>
  <si>
    <t>21536.SA.UB.33.NMB</t>
  </si>
  <si>
    <t>17536.PRA.T.1.NB</t>
  </si>
  <si>
    <t>17536.PRA.T.2.NT</t>
  </si>
  <si>
    <t>21536.PRA.UB.25.NIB</t>
  </si>
  <si>
    <t>21536.PRA.UG.26.NOL</t>
  </si>
  <si>
    <t>21536.PRA.UGW.29.NGW</t>
  </si>
  <si>
    <t>21536.PRA.UBR.30.NT</t>
  </si>
  <si>
    <t>21536.PRA.UB.33.NMB</t>
  </si>
  <si>
    <t>21644.SA.T.15.NNB</t>
  </si>
  <si>
    <t>21644.SA.T.1.NB</t>
  </si>
  <si>
    <t>17642.SA.TD.1.NB</t>
  </si>
  <si>
    <t>17642.SA.TD.15.NNB</t>
  </si>
  <si>
    <t>18642.SA.TD.10W.NBG</t>
  </si>
  <si>
    <t>17642.PS.D.15.LVBR</t>
  </si>
  <si>
    <t>18642.PS.D.9W.LVC</t>
  </si>
  <si>
    <t>Time and More UK Ltd</t>
  </si>
  <si>
    <t>Unit C3A Freemans Building, Crown Way, Rushden, Northants, NN10 6BS</t>
  </si>
  <si>
    <t>T: 07917 364582</t>
  </si>
  <si>
    <t>Style Number</t>
  </si>
  <si>
    <t>Colour of Finishings</t>
  </si>
  <si>
    <t>Family Description</t>
  </si>
  <si>
    <t>Cost</t>
  </si>
  <si>
    <t>Steel</t>
  </si>
  <si>
    <t>Clubmaster Classic Chronograph Black Dial Beige Nato Strap</t>
  </si>
  <si>
    <t>Clubmaster Classic Chronograph White Dial Green Nato Strap</t>
  </si>
  <si>
    <t>Clubmaster Classic Chronograph Navy Blue Dial and Nato Strap</t>
  </si>
  <si>
    <t>Clubmaster Classic Chronograph Green Dial and Nato Strap</t>
  </si>
  <si>
    <t>Clubmaster Classic Chronograph Ice Blue Dial and Nato Strap</t>
  </si>
  <si>
    <t>Clubmaster Classic Chronograph Olive Dail and Nato Strap</t>
  </si>
  <si>
    <t>Clubmaster Classic Chronograph Taupe Dial and Nato Strap</t>
  </si>
  <si>
    <t>Clubmaster Classic Chronograph Terracotta Chocolate Dial and Nato Strap</t>
  </si>
  <si>
    <t>Clubmaster Classic Chronograph Terracotta Caramel Dial and Nato Strap</t>
  </si>
  <si>
    <t>Rose Gold</t>
  </si>
  <si>
    <t>Clubmaster Classic Chronograph Black Dial and Nato Strap</t>
  </si>
  <si>
    <t>Clubmaster Classic Chronograph Whire Dial and Black Nato Strap</t>
  </si>
  <si>
    <t>Clubmaster Classic Chronograph Rose Dial and Black Nato Strap</t>
  </si>
  <si>
    <t>Yellow Gold</t>
  </si>
  <si>
    <t>Clubmaster Classic Chronograph White Dial and Black Nato Strap</t>
  </si>
  <si>
    <t>Clubmaster Classic Chronograph Emerald Dial and Nato Strap</t>
  </si>
  <si>
    <t>Clubmaster Classic Chronograph Berry Dial and Nato Strap</t>
  </si>
  <si>
    <t>Clubmaster Classic Chronograph Mint Green Dial and Nato Strap</t>
  </si>
  <si>
    <t>Clubmaster Classic Chronograph Peacock Blue Dial and Nato Strap</t>
  </si>
  <si>
    <t>Clubmaster Classic Chronograph Cardinal Dial and Nato Strap</t>
  </si>
  <si>
    <t>Black</t>
  </si>
  <si>
    <t>Trendsetters Chronograph Artic Camo Case Black Dial with White Numerals and Grey Nato Strap</t>
  </si>
  <si>
    <t>Trendsetters Chronograph Safari Case and Nato Strap</t>
  </si>
  <si>
    <t>Clubmaster Elegant Black Dial Black Strap Steel</t>
  </si>
  <si>
    <t>Clubmaster Elegant White Dial Grey Strap Steel</t>
  </si>
  <si>
    <t>Clubmaster Elegant Black Dial Black Strap Rose Gold</t>
  </si>
  <si>
    <t>Clubmaster Elegant White Dial Grey Strap Rose Gold</t>
  </si>
  <si>
    <t>Clubmaster Sport Chronograph Black Dial and Nato Strap</t>
  </si>
  <si>
    <t>Clubmaster Sport Chronograph White Dial and Black Nato Strap</t>
  </si>
  <si>
    <t>Clubmaster Sport Chronograph Black Dial and Beige Nato Strap</t>
  </si>
  <si>
    <t>Clubmaster Sport Chronograph White Dial and Green Nato Strap</t>
  </si>
  <si>
    <t>Clubmaster Sport Chronograph Navy Blue Dial and Nato Strap</t>
  </si>
  <si>
    <t>Clubmaster Sport Chronograph Green Dial and Nato Strap</t>
  </si>
  <si>
    <t>Clubmaster Sport Chronpgraph Grey Dial and Nato Strap</t>
  </si>
  <si>
    <t>Clubmaster Sport Chronpgraph Ice Blue Dial and Nato Strap</t>
  </si>
  <si>
    <t>Clubmaster Sport Chronpgraph Olive Green Dial and Nato Strap</t>
  </si>
  <si>
    <t>Clubmaster Sport Chronpgraph Taupe Dial and Nato Strap</t>
  </si>
  <si>
    <t>Trendsetters Sport Chronograph Black Case, Black Dial Orange Numerals and Black Nato Strap</t>
  </si>
  <si>
    <t>Trendsetters Sport Chronograph Artic Camo Case Black Dial with White Numerals and Grey Nato Strap</t>
  </si>
  <si>
    <t>Clubmaster Sport Chronograph Safari Case and Nato Strap</t>
  </si>
  <si>
    <t>Clubmaster Sport Chronograph Jungle Black Dial Jungle Green Strap</t>
  </si>
  <si>
    <t>Clubmaster Chic Ladies 3 Hand Black Dial and Nato Strap</t>
  </si>
  <si>
    <t>Clubmaster Chic Ladies 3 Hand White Dial Taupe Nato Strap</t>
  </si>
  <si>
    <t>Clubmaster Chic 3 Hand Ice Blue Dial and Nato Strap</t>
  </si>
  <si>
    <t>Clubmaster Chic 3 Hand Olive Green Dial and Nato Strap</t>
  </si>
  <si>
    <t>Clubmaster Chic 3 Hand Mint Green Dial and Nato Strap</t>
  </si>
  <si>
    <t>Clubmaster Chic 3 Hand Taupe Dial and Nato Strap</t>
  </si>
  <si>
    <t>Clubmaster Chic 3 Hand Cardinal Red Dial and Nato Strap</t>
  </si>
  <si>
    <t>Clubmaster Chic 3 Hand Midnight Blue Dial and Nato Strap</t>
  </si>
  <si>
    <t>Blue</t>
  </si>
  <si>
    <t>Diver Pro Blue Dial Actetate Blue Nato Strap</t>
  </si>
  <si>
    <t>Diver Pro Black Dial Actetate Black Nato Strap</t>
  </si>
  <si>
    <t>Clubmaster Diver Black Dial and Nato Strap</t>
  </si>
  <si>
    <t>Clubmaster Diver Blue Dial and Nato Strap</t>
  </si>
  <si>
    <t>Clubmaster Diver Wood Dial Green Nato Strap</t>
  </si>
  <si>
    <t>Clubmaster Diver Blue Dial Tan Leather Strap</t>
  </si>
  <si>
    <t>Clubmaster Diver Wood Dial Dark Tan Leather Strap</t>
  </si>
  <si>
    <t>Streamliner Urban Steel Black Dial Black Silicone Strap</t>
  </si>
  <si>
    <t>Streamliner Urban Steel White Dial Black Silicone Strap</t>
  </si>
  <si>
    <t>Streamliner Urban Steel Blue Dial Blue Silicone Strap</t>
  </si>
  <si>
    <t>24140.SA.T.10.NYG</t>
  </si>
  <si>
    <t>24140.SA.T.27.NOG</t>
  </si>
  <si>
    <t>Clubmaster Classic Summer Vibes - Chronograph Date Yellow Nato</t>
  </si>
  <si>
    <t>Clubmaster Classic Summer Vibes - Chronograph Date Orange Nato</t>
  </si>
  <si>
    <t>SS25 Price List</t>
  </si>
  <si>
    <t>Effective 1st January 2025</t>
  </si>
  <si>
    <t>241542.SA.T.2.NNB</t>
  </si>
  <si>
    <t>241542.SA.T.15W.NNB</t>
  </si>
  <si>
    <t>Clubmaster regatta Acetate - Chronograph Date White Dial Blue Nato</t>
  </si>
  <si>
    <t>251542.SA.T.2W.NW</t>
  </si>
  <si>
    <t>Clubmaster regatta Acetate - Chronograph Date Wood Dial Blue Nato</t>
  </si>
  <si>
    <t>Clubmaster regatta Acetate - Chronograph Date Wood Dial White Nato</t>
  </si>
  <si>
    <t>241542.SP.NB.15</t>
  </si>
  <si>
    <t>251542.SP.W.2</t>
  </si>
  <si>
    <t>Clubmaster regatta Acetate - Chronograph Date Blue Dial Blue Nato Recycled Plastic</t>
  </si>
  <si>
    <t>Clubmaster regatta Acetate - Chronograph Date White Dial Blue Nato Recycled Plastic</t>
  </si>
  <si>
    <t>17342.SA.TS.1.NK</t>
  </si>
  <si>
    <t>17342.SA.TS.2.NGA</t>
  </si>
  <si>
    <t>17342.SA.TS.10.NBG</t>
  </si>
  <si>
    <t>17342.SA.TS.25.NIB</t>
  </si>
  <si>
    <t>17342.SA.TS.30.NT</t>
  </si>
  <si>
    <t>Clubmaster Day Date 42mm Black Dial Beige Nato Strap</t>
  </si>
  <si>
    <t>Clubmaster Day Date 42mm White Dial Green Nato Strap</t>
  </si>
  <si>
    <t>Clubmaster Day Date 42mm Black Dial Green Nato Strap</t>
  </si>
  <si>
    <t>Clubmaster Day Date 42mm Blue Dial Blue Nato Strap</t>
  </si>
  <si>
    <t>Clubmaster Day Date 42mm Taupe Dial Taupe Nato Strap</t>
  </si>
  <si>
    <t>22142.SPRG.T2.RB</t>
  </si>
  <si>
    <t>Streamliner Urban Rose Gold Silver Dial Black Silicone Strap</t>
  </si>
  <si>
    <t>24142.S.T.15.LBR</t>
  </si>
  <si>
    <t>24142.S.T.16.LBR</t>
  </si>
  <si>
    <t>Streamliner Urban Driver Steel Blue Dial Brown Leather Strap</t>
  </si>
  <si>
    <t>Streamliner Urban Driver Steel Grey Dial Brown Leather Strap</t>
  </si>
  <si>
    <t>251838.SA.T.1.FB</t>
  </si>
  <si>
    <t>251838.SA.T.2.FBR</t>
  </si>
  <si>
    <t>252030.SA.T.1.NB</t>
  </si>
  <si>
    <t>252030.PRA.T.2.NT</t>
  </si>
  <si>
    <t>252030.SA.T.2.NT</t>
  </si>
  <si>
    <t>252030.PRA.T.1.NB</t>
  </si>
  <si>
    <t>Streamliner Kennedy Big Chrono Black Dial Black Silicone Strap 38mm</t>
  </si>
  <si>
    <t>Streamliner Kennedy Big Chrono Silver Dial Brown Silicone Strap 38mm</t>
  </si>
  <si>
    <t>Streamline Kennedy Black Dial Black Nato Strap 30mm</t>
  </si>
  <si>
    <t>Streamline Kennedy White Dial Taupe Nato Strap 30mm</t>
  </si>
  <si>
    <t>Streamline Kennedy White Dial Taupe Nato Strap 25mm</t>
  </si>
  <si>
    <t>Streamline Kennedy Black Dial Black Nato Strap 25mm</t>
  </si>
  <si>
    <t>Order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</si>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</sst>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vertical="center"/>
    </xf>
    <xf numFmtId="0" fontId="4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/>
    </xf>
    <xf numFmtId="0" fontId="3" fillId="0" borderId="3" xfId="2" applyFont="1" applyFill="1" applyBorder="1" applyAlignment="1">
      <alignment horizontal="left" vertical="center" wrapText="1"/>
    </xf>
    <xf numFmtId="0" fontId="4" fillId="0" borderId="3" xfId="0" applyFont="1" applyFill="1" applyBorder="1"/>
  </cellXfs>
  <cellStyles count="3">
    <cellStyle name="Normal" xfId="0" builtinId="0"/>
    <cellStyle name="Normal 2" xfId="1" xr:uid="{8A442E7F-CEA3-41A7-A2DA-30D57616E941}"/>
    <cellStyle name="Normal 4 2" xfId="2" xr:uid="{5FCD1C49-0BD2-4ADA-8FFF-C0C65FFDA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984251</xdr:colOff>
      <xdr:row>0</xdr:row>
      <xdr:rowOff>158750</xdr:rowOff>
    </xdr:from>
    <xdr:to>
      <xdr:col>2</xdr:col>
      <xdr:colOff>4475058</xdr:colOff>
      <xdr:row>0</xdr:row>
      <xdr:rowOff>744643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199ED-4DCC-40E7-A635-31DE77BDC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951" y="158750"/>
          <a:ext cx="3494617" cy="5820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657C-D6C2-4C5B-94C3-0D82CA996789}">
  <dimension ref="A1:H102"/>
  <sheetViews>
    <sheetView tabSelected="1" zoomScaleNormal="100" workbookViewId="0">
      <selection activeCell="L22" sqref="L22"/>
    </sheetView>
  </sheetViews>
  <sheetFormatPr defaultRowHeight="14.4" x14ac:dyDescent="0.3"/>
  <cols>
    <col min="1" max="1" width="20.21875" bestFit="1" customWidth="1"/>
    <col min="2" max="2" width="10.77734375" style="2" customWidth="1"/>
    <col min="3" max="3" width="80.21875" style="1" bestFit="1" customWidth="1"/>
    <col min="4" max="4" width="9.5546875" style="2" customWidth="1"/>
    <col min="5" max="5" width="8.77734375" style="2"/>
    <col min="6" max="6" width="5.109375" style="1" customWidth="1"/>
    <col min="7" max="7" width="11.77734375" style="1" bestFit="1" customWidth="1"/>
    <col min="8" max="8" width="8.88671875" style="1"/>
    <col min="10" max="10" width="11.77734375" bestFit="1" customWidth="1"/>
    <col min="13" max="13" width="11.77734375" bestFit="1" customWidth="1"/>
    <col min="16" max="16" width="11.77734375" bestFit="1" customWidth="1"/>
    <col min="19" max="19" width="11.77734375" bestFit="1" customWidth="1"/>
    <col min="22" max="22" width="11.77734375" bestFit="1" customWidth="1"/>
    <col min="25" max="25" width="11.77734375" bestFit="1" customWidth="1"/>
    <col min="28" max="28" width="11.77734375" bestFit="1" customWidth="1"/>
    <col min="31" max="31" width="11.77734375" bestFit="1" customWidth="1"/>
    <col min="34" max="34" width="11.77734375" bestFit="1" customWidth="1"/>
    <col min="37" max="37" width="11.77734375" bestFit="1" customWidth="1"/>
    <col min="40" max="40" width="11.77734375" bestFit="1" customWidth="1"/>
    <col min="43" max="43" width="11.77734375" bestFit="1" customWidth="1"/>
    <col min="46" max="46" width="11.77734375" bestFit="1" customWidth="1"/>
    <col min="49" max="49" width="11.77734375" bestFit="1" customWidth="1"/>
    <col min="52" max="52" width="11.77734375" bestFit="1" customWidth="1"/>
    <col min="55" max="55" width="11.77734375" bestFit="1" customWidth="1"/>
    <col min="58" max="58" width="11.77734375" bestFit="1" customWidth="1"/>
    <col min="61" max="61" width="11.77734375" bestFit="1" customWidth="1"/>
    <col min="64" max="64" width="11.77734375" bestFit="1" customWidth="1"/>
    <col min="67" max="67" width="11.77734375" bestFit="1" customWidth="1"/>
    <col min="70" max="70" width="11.77734375" bestFit="1" customWidth="1"/>
    <col min="73" max="73" width="11.77734375" bestFit="1" customWidth="1"/>
    <col min="76" max="76" width="14.44140625" bestFit="1" customWidth="1"/>
    <col min="79" max="79" width="14.44140625" bestFit="1" customWidth="1"/>
    <col min="82" max="82" width="14.44140625" bestFit="1" customWidth="1"/>
    <col min="85" max="85" width="14.44140625" bestFit="1" customWidth="1"/>
  </cols>
  <sheetData>
    <row r="1" spans="1:8" ht="71.55" customHeight="1" x14ac:dyDescent="0.3">
      <c r="A1" s="32"/>
      <c r="B1" s="32"/>
      <c r="C1" s="32"/>
      <c r="D1" s="32"/>
      <c r="E1" s="32"/>
    </row>
    <row r="2" spans="1:8" x14ac:dyDescent="0.3">
      <c r="A2" s="31" t="s">
        <v>145</v>
      </c>
      <c r="B2" s="31"/>
      <c r="C2" s="31"/>
      <c r="D2" s="31"/>
      <c r="E2" s="31"/>
    </row>
    <row r="3" spans="1:8" x14ac:dyDescent="0.3">
      <c r="A3" s="31" t="s">
        <v>146</v>
      </c>
      <c r="B3" s="31"/>
      <c r="C3" s="31"/>
      <c r="D3" s="31"/>
      <c r="E3" s="31"/>
    </row>
    <row r="4" spans="1:8" x14ac:dyDescent="0.3">
      <c r="A4" s="31" t="s">
        <v>73</v>
      </c>
      <c r="B4" s="31"/>
      <c r="C4" s="31"/>
      <c r="D4" s="31"/>
      <c r="E4" s="31"/>
    </row>
    <row r="5" spans="1:8" x14ac:dyDescent="0.3">
      <c r="A5" s="31" t="s">
        <v>74</v>
      </c>
      <c r="B5" s="31"/>
      <c r="C5" s="31"/>
      <c r="D5" s="31"/>
      <c r="E5" s="31"/>
    </row>
    <row r="6" spans="1:8" x14ac:dyDescent="0.3">
      <c r="A6" s="31" t="s">
        <v>75</v>
      </c>
      <c r="B6" s="31"/>
      <c r="C6" s="31"/>
      <c r="D6" s="31"/>
      <c r="E6" s="31"/>
    </row>
    <row r="7" spans="1:8" ht="15" thickBot="1" x14ac:dyDescent="0.35"/>
    <row r="8" spans="1:8" s="9" customFormat="1" ht="27" customHeight="1" thickBot="1" x14ac:dyDescent="0.35">
      <c r="A8" s="13" t="s">
        <v>76</v>
      </c>
      <c r="B8" s="18" t="s">
        <v>77</v>
      </c>
      <c r="C8" s="12" t="s">
        <v>78</v>
      </c>
      <c r="D8" s="17" t="s">
        <v>4</v>
      </c>
      <c r="E8" s="12" t="s">
        <v>79</v>
      </c>
      <c r="G8" s="30" t="s">
        <v>185</v>
      </c>
      <c r="H8" s="30" t="s">
        <v>186</v>
      </c>
    </row>
    <row r="9" spans="1:8" s="3" customFormat="1" ht="15" customHeight="1" x14ac:dyDescent="0.3">
      <c r="A9" s="33" t="s">
        <v>0</v>
      </c>
      <c r="B9" s="19" t="s">
        <v>80</v>
      </c>
      <c r="C9" s="14" t="s">
        <v>81</v>
      </c>
      <c r="D9" s="22">
        <v>289</v>
      </c>
      <c r="E9" s="6">
        <f t="shared" ref="E9:E40" si="0">D9/1.2*0.55</f>
        <v>132.45833333333334</v>
      </c>
      <c r="F9" s="21"/>
      <c r="G9" s="19"/>
      <c r="H9" s="6">
        <f>G9*E9</f>
        <v>0</v>
      </c>
    </row>
    <row r="10" spans="1:8" s="3" customFormat="1" ht="15" customHeight="1" x14ac:dyDescent="0.3">
      <c r="A10" s="34" t="s">
        <v>29</v>
      </c>
      <c r="B10" s="5" t="s">
        <v>101</v>
      </c>
      <c r="C10" s="15" t="s">
        <v>103</v>
      </c>
      <c r="D10" s="23">
        <v>315</v>
      </c>
      <c r="E10" s="7">
        <f t="shared" si="0"/>
        <v>144.375</v>
      </c>
      <c r="F10" s="21"/>
      <c r="G10" s="5"/>
      <c r="H10" s="7">
        <f t="shared" ref="H10:H73" si="1">G10*E10</f>
        <v>0</v>
      </c>
    </row>
    <row r="11" spans="1:8" s="3" customFormat="1" ht="15" customHeight="1" x14ac:dyDescent="0.3">
      <c r="A11" s="34" t="s">
        <v>10</v>
      </c>
      <c r="B11" s="5" t="s">
        <v>90</v>
      </c>
      <c r="C11" s="15" t="s">
        <v>91</v>
      </c>
      <c r="D11" s="23">
        <v>315</v>
      </c>
      <c r="E11" s="7">
        <f t="shared" si="0"/>
        <v>144.375</v>
      </c>
      <c r="F11" s="21"/>
      <c r="G11" s="5"/>
      <c r="H11" s="7">
        <f t="shared" si="1"/>
        <v>0</v>
      </c>
    </row>
    <row r="12" spans="1:8" s="3" customFormat="1" ht="15" customHeight="1" x14ac:dyDescent="0.3">
      <c r="A12" s="34" t="s">
        <v>12</v>
      </c>
      <c r="B12" s="5" t="s">
        <v>90</v>
      </c>
      <c r="C12" s="15" t="s">
        <v>93</v>
      </c>
      <c r="D12" s="23">
        <v>315</v>
      </c>
      <c r="E12" s="7">
        <f t="shared" si="0"/>
        <v>144.375</v>
      </c>
      <c r="F12" s="21"/>
      <c r="G12" s="5"/>
      <c r="H12" s="7">
        <f t="shared" si="1"/>
        <v>0</v>
      </c>
    </row>
    <row r="13" spans="1:8" s="3" customFormat="1" ht="15" customHeight="1" x14ac:dyDescent="0.3">
      <c r="A13" s="34" t="s">
        <v>28</v>
      </c>
      <c r="B13" s="5" t="s">
        <v>101</v>
      </c>
      <c r="C13" s="15" t="s">
        <v>102</v>
      </c>
      <c r="D13" s="23">
        <v>315</v>
      </c>
      <c r="E13" s="7">
        <f t="shared" si="0"/>
        <v>144.375</v>
      </c>
      <c r="F13" s="21"/>
      <c r="G13" s="5"/>
      <c r="H13" s="7">
        <f t="shared" si="1"/>
        <v>0</v>
      </c>
    </row>
    <row r="14" spans="1:8" s="3" customFormat="1" ht="15" customHeight="1" x14ac:dyDescent="0.3">
      <c r="A14" s="35" t="s">
        <v>17</v>
      </c>
      <c r="B14" s="5" t="s">
        <v>94</v>
      </c>
      <c r="C14" s="5" t="s">
        <v>84</v>
      </c>
      <c r="D14" s="23">
        <v>315</v>
      </c>
      <c r="E14" s="7">
        <f t="shared" si="0"/>
        <v>144.375</v>
      </c>
      <c r="F14" s="21"/>
      <c r="G14" s="5"/>
      <c r="H14" s="7">
        <f t="shared" si="1"/>
        <v>0</v>
      </c>
    </row>
    <row r="15" spans="1:8" s="3" customFormat="1" ht="15" customHeight="1" x14ac:dyDescent="0.3">
      <c r="A15" s="36" t="s">
        <v>3</v>
      </c>
      <c r="B15" s="5" t="s">
        <v>80</v>
      </c>
      <c r="C15" s="5" t="s">
        <v>84</v>
      </c>
      <c r="D15" s="23">
        <v>289</v>
      </c>
      <c r="E15" s="7">
        <f t="shared" si="0"/>
        <v>132.45833333333334</v>
      </c>
      <c r="F15" s="21"/>
      <c r="G15" s="5"/>
      <c r="H15" s="7">
        <f t="shared" si="1"/>
        <v>0</v>
      </c>
    </row>
    <row r="16" spans="1:8" ht="15" customHeight="1" x14ac:dyDescent="0.3">
      <c r="A16" s="34" t="s">
        <v>2</v>
      </c>
      <c r="B16" s="5" t="s">
        <v>80</v>
      </c>
      <c r="C16" s="5" t="s">
        <v>83</v>
      </c>
      <c r="D16" s="23">
        <v>289</v>
      </c>
      <c r="E16" s="7">
        <f t="shared" si="0"/>
        <v>132.45833333333334</v>
      </c>
      <c r="G16" s="28"/>
      <c r="H16" s="7">
        <f t="shared" si="1"/>
        <v>0</v>
      </c>
    </row>
    <row r="17" spans="1:8" ht="15" customHeight="1" x14ac:dyDescent="0.3">
      <c r="A17" s="34" t="s">
        <v>1</v>
      </c>
      <c r="B17" s="5" t="s">
        <v>80</v>
      </c>
      <c r="C17" s="5" t="s">
        <v>82</v>
      </c>
      <c r="D17" s="23">
        <v>289</v>
      </c>
      <c r="E17" s="7">
        <f t="shared" si="0"/>
        <v>132.45833333333334</v>
      </c>
      <c r="G17" s="28"/>
      <c r="H17" s="7">
        <f t="shared" si="1"/>
        <v>0</v>
      </c>
    </row>
    <row r="18" spans="1:8" ht="15" customHeight="1" x14ac:dyDescent="0.3">
      <c r="A18" s="34" t="s">
        <v>11</v>
      </c>
      <c r="B18" s="5" t="s">
        <v>90</v>
      </c>
      <c r="C18" s="15" t="s">
        <v>92</v>
      </c>
      <c r="D18" s="23">
        <v>315</v>
      </c>
      <c r="E18" s="7">
        <f t="shared" si="0"/>
        <v>144.375</v>
      </c>
      <c r="G18" s="28"/>
      <c r="H18" s="7">
        <f t="shared" si="1"/>
        <v>0</v>
      </c>
    </row>
    <row r="19" spans="1:8" ht="15" customHeight="1" x14ac:dyDescent="0.3">
      <c r="A19" s="35" t="s">
        <v>16</v>
      </c>
      <c r="B19" s="5" t="s">
        <v>94</v>
      </c>
      <c r="C19" s="15" t="s">
        <v>95</v>
      </c>
      <c r="D19" s="23">
        <v>315</v>
      </c>
      <c r="E19" s="7">
        <f t="shared" si="0"/>
        <v>144.375</v>
      </c>
      <c r="G19" s="28"/>
      <c r="H19" s="7">
        <f t="shared" si="1"/>
        <v>0</v>
      </c>
    </row>
    <row r="20" spans="1:8" ht="15" customHeight="1" x14ac:dyDescent="0.3">
      <c r="A20" s="34" t="s">
        <v>30</v>
      </c>
      <c r="B20" s="5" t="s">
        <v>80</v>
      </c>
      <c r="C20" s="15" t="s">
        <v>108</v>
      </c>
      <c r="D20" s="23">
        <v>315</v>
      </c>
      <c r="E20" s="7">
        <f t="shared" si="0"/>
        <v>144.375</v>
      </c>
      <c r="G20" s="28"/>
      <c r="H20" s="7">
        <f t="shared" si="1"/>
        <v>0</v>
      </c>
    </row>
    <row r="21" spans="1:8" ht="15" customHeight="1" x14ac:dyDescent="0.3">
      <c r="A21" s="34" t="s">
        <v>31</v>
      </c>
      <c r="B21" s="5" t="s">
        <v>80</v>
      </c>
      <c r="C21" s="15" t="s">
        <v>109</v>
      </c>
      <c r="D21" s="23">
        <v>315</v>
      </c>
      <c r="E21" s="7">
        <f t="shared" si="0"/>
        <v>144.375</v>
      </c>
      <c r="G21" s="28"/>
      <c r="H21" s="7">
        <f t="shared" si="1"/>
        <v>0</v>
      </c>
    </row>
    <row r="22" spans="1:8" ht="15" customHeight="1" x14ac:dyDescent="0.3">
      <c r="A22" s="34" t="s">
        <v>32</v>
      </c>
      <c r="B22" s="5" t="s">
        <v>80</v>
      </c>
      <c r="C22" s="15" t="s">
        <v>110</v>
      </c>
      <c r="D22" s="23">
        <v>315</v>
      </c>
      <c r="E22" s="7">
        <f t="shared" si="0"/>
        <v>144.375</v>
      </c>
      <c r="G22" s="28"/>
      <c r="H22" s="7">
        <f t="shared" si="1"/>
        <v>0</v>
      </c>
    </row>
    <row r="23" spans="1:8" ht="15" customHeight="1" x14ac:dyDescent="0.3">
      <c r="A23" s="34" t="s">
        <v>35</v>
      </c>
      <c r="B23" s="5" t="s">
        <v>80</v>
      </c>
      <c r="C23" s="15" t="s">
        <v>113</v>
      </c>
      <c r="D23" s="23">
        <v>315</v>
      </c>
      <c r="E23" s="7">
        <f t="shared" si="0"/>
        <v>144.375</v>
      </c>
      <c r="G23" s="28"/>
      <c r="H23" s="7">
        <f t="shared" si="1"/>
        <v>0</v>
      </c>
    </row>
    <row r="24" spans="1:8" ht="15" customHeight="1" x14ac:dyDescent="0.3">
      <c r="A24" s="34" t="s">
        <v>36</v>
      </c>
      <c r="B24" s="5" t="s">
        <v>80</v>
      </c>
      <c r="C24" s="15" t="s">
        <v>114</v>
      </c>
      <c r="D24" s="23">
        <v>315</v>
      </c>
      <c r="E24" s="7">
        <f t="shared" si="0"/>
        <v>144.375</v>
      </c>
      <c r="G24" s="28"/>
      <c r="H24" s="7">
        <f t="shared" si="1"/>
        <v>0</v>
      </c>
    </row>
    <row r="25" spans="1:8" ht="15" customHeight="1" x14ac:dyDescent="0.3">
      <c r="A25" s="34" t="s">
        <v>33</v>
      </c>
      <c r="B25" s="5" t="s">
        <v>80</v>
      </c>
      <c r="C25" s="15" t="s">
        <v>111</v>
      </c>
      <c r="D25" s="23">
        <v>315</v>
      </c>
      <c r="E25" s="7">
        <f t="shared" si="0"/>
        <v>144.375</v>
      </c>
      <c r="G25" s="28"/>
      <c r="H25" s="7">
        <f t="shared" si="1"/>
        <v>0</v>
      </c>
    </row>
    <row r="26" spans="1:8" ht="15" customHeight="1" x14ac:dyDescent="0.3">
      <c r="A26" s="34" t="s">
        <v>34</v>
      </c>
      <c r="B26" s="5" t="s">
        <v>80</v>
      </c>
      <c r="C26" s="15" t="s">
        <v>112</v>
      </c>
      <c r="D26" s="23">
        <v>315</v>
      </c>
      <c r="E26" s="7">
        <f t="shared" si="0"/>
        <v>144.375</v>
      </c>
      <c r="G26" s="28"/>
      <c r="H26" s="7">
        <f t="shared" si="1"/>
        <v>0</v>
      </c>
    </row>
    <row r="27" spans="1:8" ht="15" customHeight="1" x14ac:dyDescent="0.3">
      <c r="A27" s="37" t="s">
        <v>157</v>
      </c>
      <c r="B27" s="5" t="s">
        <v>80</v>
      </c>
      <c r="C27" s="15" t="s">
        <v>162</v>
      </c>
      <c r="D27" s="23">
        <v>219</v>
      </c>
      <c r="E27" s="7">
        <f t="shared" si="0"/>
        <v>100.37500000000001</v>
      </c>
      <c r="G27" s="28"/>
      <c r="H27" s="7">
        <f t="shared" si="1"/>
        <v>0</v>
      </c>
    </row>
    <row r="28" spans="1:8" ht="15" customHeight="1" x14ac:dyDescent="0.3">
      <c r="A28" s="37" t="s">
        <v>159</v>
      </c>
      <c r="B28" s="5" t="s">
        <v>80</v>
      </c>
      <c r="C28" s="15" t="s">
        <v>164</v>
      </c>
      <c r="D28" s="23">
        <v>219</v>
      </c>
      <c r="E28" s="7">
        <f t="shared" si="0"/>
        <v>100.37500000000001</v>
      </c>
      <c r="G28" s="28"/>
      <c r="H28" s="7">
        <f t="shared" si="1"/>
        <v>0</v>
      </c>
    </row>
    <row r="29" spans="1:8" ht="15" customHeight="1" x14ac:dyDescent="0.3">
      <c r="A29" s="38" t="s">
        <v>158</v>
      </c>
      <c r="B29" s="5" t="s">
        <v>80</v>
      </c>
      <c r="C29" s="15" t="s">
        <v>163</v>
      </c>
      <c r="D29" s="23">
        <v>219</v>
      </c>
      <c r="E29" s="7">
        <f t="shared" si="0"/>
        <v>100.37500000000001</v>
      </c>
      <c r="G29" s="28"/>
      <c r="H29" s="7">
        <f t="shared" si="1"/>
        <v>0</v>
      </c>
    </row>
    <row r="30" spans="1:8" ht="15" customHeight="1" x14ac:dyDescent="0.3">
      <c r="A30" s="38" t="s">
        <v>160</v>
      </c>
      <c r="B30" s="5" t="s">
        <v>80</v>
      </c>
      <c r="C30" s="15" t="s">
        <v>165</v>
      </c>
      <c r="D30" s="23">
        <v>219</v>
      </c>
      <c r="E30" s="7">
        <f t="shared" si="0"/>
        <v>100.37500000000001</v>
      </c>
      <c r="G30" s="28"/>
      <c r="H30" s="7">
        <f t="shared" si="1"/>
        <v>0</v>
      </c>
    </row>
    <row r="31" spans="1:8" ht="15" customHeight="1" x14ac:dyDescent="0.3">
      <c r="A31" s="37" t="s">
        <v>161</v>
      </c>
      <c r="B31" s="5" t="s">
        <v>80</v>
      </c>
      <c r="C31" s="15" t="s">
        <v>166</v>
      </c>
      <c r="D31" s="23">
        <v>219</v>
      </c>
      <c r="E31" s="7">
        <f t="shared" si="0"/>
        <v>100.37500000000001</v>
      </c>
      <c r="G31" s="28"/>
      <c r="H31" s="7">
        <f t="shared" si="1"/>
        <v>0</v>
      </c>
    </row>
    <row r="32" spans="1:8" ht="15" customHeight="1" x14ac:dyDescent="0.3">
      <c r="A32" s="34" t="s">
        <v>59</v>
      </c>
      <c r="B32" s="5" t="s">
        <v>90</v>
      </c>
      <c r="C32" s="15" t="s">
        <v>122</v>
      </c>
      <c r="D32" s="23">
        <v>209</v>
      </c>
      <c r="E32" s="7">
        <f t="shared" si="0"/>
        <v>95.791666666666686</v>
      </c>
      <c r="G32" s="28"/>
      <c r="H32" s="7">
        <f t="shared" si="1"/>
        <v>0</v>
      </c>
    </row>
    <row r="33" spans="1:8" ht="15" customHeight="1" x14ac:dyDescent="0.3">
      <c r="A33" s="34" t="s">
        <v>60</v>
      </c>
      <c r="B33" s="5" t="s">
        <v>90</v>
      </c>
      <c r="C33" s="15" t="s">
        <v>123</v>
      </c>
      <c r="D33" s="23">
        <v>209</v>
      </c>
      <c r="E33" s="7">
        <f t="shared" si="0"/>
        <v>95.791666666666686</v>
      </c>
      <c r="G33" s="28"/>
      <c r="H33" s="7">
        <f t="shared" si="1"/>
        <v>0</v>
      </c>
    </row>
    <row r="34" spans="1:8" ht="15" customHeight="1" x14ac:dyDescent="0.3">
      <c r="A34" s="34" t="s">
        <v>51</v>
      </c>
      <c r="B34" s="5" t="s">
        <v>80</v>
      </c>
      <c r="C34" s="15" t="s">
        <v>122</v>
      </c>
      <c r="D34" s="23">
        <v>189</v>
      </c>
      <c r="E34" s="7">
        <f t="shared" si="0"/>
        <v>86.625</v>
      </c>
      <c r="G34" s="28"/>
      <c r="H34" s="7">
        <f t="shared" si="1"/>
        <v>0</v>
      </c>
    </row>
    <row r="35" spans="1:8" ht="15" customHeight="1" x14ac:dyDescent="0.3">
      <c r="A35" s="34" t="s">
        <v>52</v>
      </c>
      <c r="B35" s="5" t="s">
        <v>80</v>
      </c>
      <c r="C35" s="15" t="s">
        <v>123</v>
      </c>
      <c r="D35" s="23">
        <v>189</v>
      </c>
      <c r="E35" s="7">
        <f t="shared" si="0"/>
        <v>86.625</v>
      </c>
      <c r="G35" s="28"/>
      <c r="H35" s="7">
        <f t="shared" si="1"/>
        <v>0</v>
      </c>
    </row>
    <row r="36" spans="1:8" ht="15" customHeight="1" x14ac:dyDescent="0.3">
      <c r="A36" s="34" t="s">
        <v>71</v>
      </c>
      <c r="B36" s="5" t="s">
        <v>80</v>
      </c>
      <c r="C36" s="15" t="s">
        <v>136</v>
      </c>
      <c r="D36" s="23">
        <v>525</v>
      </c>
      <c r="E36" s="7">
        <f t="shared" si="0"/>
        <v>240.62500000000003</v>
      </c>
      <c r="G36" s="28"/>
      <c r="H36" s="7">
        <f t="shared" si="1"/>
        <v>0</v>
      </c>
    </row>
    <row r="37" spans="1:8" ht="15" customHeight="1" x14ac:dyDescent="0.3">
      <c r="A37" s="34" t="s">
        <v>68</v>
      </c>
      <c r="B37" s="5" t="s">
        <v>80</v>
      </c>
      <c r="C37" s="15" t="s">
        <v>133</v>
      </c>
      <c r="D37" s="23">
        <v>480</v>
      </c>
      <c r="E37" s="7">
        <f t="shared" si="0"/>
        <v>220.00000000000003</v>
      </c>
      <c r="G37" s="28"/>
      <c r="H37" s="7">
        <f t="shared" si="1"/>
        <v>0</v>
      </c>
    </row>
    <row r="38" spans="1:8" ht="15" customHeight="1" x14ac:dyDescent="0.3">
      <c r="A38" s="34" t="s">
        <v>69</v>
      </c>
      <c r="B38" s="5" t="s">
        <v>80</v>
      </c>
      <c r="C38" s="15" t="s">
        <v>134</v>
      </c>
      <c r="D38" s="23">
        <v>480</v>
      </c>
      <c r="E38" s="7">
        <f t="shared" si="0"/>
        <v>220.00000000000003</v>
      </c>
      <c r="G38" s="28"/>
      <c r="H38" s="7">
        <f t="shared" si="1"/>
        <v>0</v>
      </c>
    </row>
    <row r="39" spans="1:8" ht="15" customHeight="1" x14ac:dyDescent="0.3">
      <c r="A39" s="34" t="s">
        <v>40</v>
      </c>
      <c r="B39" s="5" t="s">
        <v>101</v>
      </c>
      <c r="C39" s="15" t="s">
        <v>118</v>
      </c>
      <c r="D39" s="23">
        <v>330</v>
      </c>
      <c r="E39" s="7">
        <f t="shared" si="0"/>
        <v>151.25</v>
      </c>
      <c r="G39" s="28"/>
      <c r="H39" s="7">
        <f t="shared" si="1"/>
        <v>0</v>
      </c>
    </row>
    <row r="40" spans="1:8" ht="15" customHeight="1" x14ac:dyDescent="0.3">
      <c r="A40" s="34" t="s">
        <v>41</v>
      </c>
      <c r="B40" s="5" t="s">
        <v>101</v>
      </c>
      <c r="C40" s="15" t="s">
        <v>119</v>
      </c>
      <c r="D40" s="23">
        <v>330</v>
      </c>
      <c r="E40" s="7">
        <f t="shared" si="0"/>
        <v>151.25</v>
      </c>
      <c r="G40" s="28"/>
      <c r="H40" s="7">
        <f t="shared" si="1"/>
        <v>0</v>
      </c>
    </row>
    <row r="41" spans="1:8" ht="15" customHeight="1" x14ac:dyDescent="0.3">
      <c r="A41" s="34" t="s">
        <v>42</v>
      </c>
      <c r="B41" s="5" t="s">
        <v>101</v>
      </c>
      <c r="C41" s="15" t="s">
        <v>120</v>
      </c>
      <c r="D41" s="23">
        <v>330</v>
      </c>
      <c r="E41" s="7">
        <f t="shared" ref="E41:E72" si="2">D41/1.2*0.55</f>
        <v>151.25</v>
      </c>
      <c r="G41" s="28"/>
      <c r="H41" s="7">
        <f t="shared" si="1"/>
        <v>0</v>
      </c>
    </row>
    <row r="42" spans="1:8" ht="15" customHeight="1" x14ac:dyDescent="0.3">
      <c r="A42" s="34" t="s">
        <v>43</v>
      </c>
      <c r="B42" s="5" t="s">
        <v>101</v>
      </c>
      <c r="C42" s="15" t="s">
        <v>121</v>
      </c>
      <c r="D42" s="23">
        <v>330</v>
      </c>
      <c r="E42" s="7">
        <f t="shared" si="2"/>
        <v>151.25</v>
      </c>
      <c r="G42" s="28"/>
      <c r="H42" s="7">
        <f t="shared" si="1"/>
        <v>0</v>
      </c>
    </row>
    <row r="43" spans="1:8" ht="15" customHeight="1" x14ac:dyDescent="0.3">
      <c r="A43" s="34" t="s">
        <v>72</v>
      </c>
      <c r="B43" s="5" t="s">
        <v>80</v>
      </c>
      <c r="C43" s="15" t="s">
        <v>137</v>
      </c>
      <c r="D43" s="23">
        <v>530</v>
      </c>
      <c r="E43" s="7">
        <f t="shared" si="2"/>
        <v>242.91666666666669</v>
      </c>
      <c r="G43" s="28"/>
      <c r="H43" s="7">
        <f t="shared" si="1"/>
        <v>0</v>
      </c>
    </row>
    <row r="44" spans="1:8" ht="15" customHeight="1" x14ac:dyDescent="0.3">
      <c r="A44" s="34" t="s">
        <v>70</v>
      </c>
      <c r="B44" s="5" t="s">
        <v>80</v>
      </c>
      <c r="C44" s="15" t="s">
        <v>135</v>
      </c>
      <c r="D44" s="23">
        <v>490</v>
      </c>
      <c r="E44" s="7">
        <f t="shared" si="2"/>
        <v>224.58333333333337</v>
      </c>
      <c r="G44" s="28"/>
      <c r="H44" s="7">
        <f t="shared" si="1"/>
        <v>0</v>
      </c>
    </row>
    <row r="45" spans="1:8" ht="15" customHeight="1" x14ac:dyDescent="0.3">
      <c r="A45" s="36" t="s">
        <v>13</v>
      </c>
      <c r="B45" s="5" t="s">
        <v>90</v>
      </c>
      <c r="C45" s="15" t="s">
        <v>86</v>
      </c>
      <c r="D45" s="23">
        <v>315</v>
      </c>
      <c r="E45" s="7">
        <f t="shared" si="2"/>
        <v>144.375</v>
      </c>
      <c r="G45" s="28"/>
      <c r="H45" s="7">
        <f t="shared" si="1"/>
        <v>0</v>
      </c>
    </row>
    <row r="46" spans="1:8" ht="15" customHeight="1" x14ac:dyDescent="0.3">
      <c r="A46" s="39" t="s">
        <v>18</v>
      </c>
      <c r="B46" s="5" t="s">
        <v>94</v>
      </c>
      <c r="C46" s="5" t="s">
        <v>85</v>
      </c>
      <c r="D46" s="23">
        <v>315</v>
      </c>
      <c r="E46" s="7">
        <f t="shared" si="2"/>
        <v>144.375</v>
      </c>
      <c r="G46" s="28"/>
      <c r="H46" s="7">
        <f t="shared" si="1"/>
        <v>0</v>
      </c>
    </row>
    <row r="47" spans="1:8" ht="15" customHeight="1" x14ac:dyDescent="0.3">
      <c r="A47" s="36" t="s">
        <v>19</v>
      </c>
      <c r="B47" s="5" t="s">
        <v>94</v>
      </c>
      <c r="C47" s="15" t="s">
        <v>86</v>
      </c>
      <c r="D47" s="23">
        <v>315</v>
      </c>
      <c r="E47" s="7">
        <f t="shared" si="2"/>
        <v>144.375</v>
      </c>
      <c r="F47" s="4"/>
      <c r="G47" s="8"/>
      <c r="H47" s="7">
        <f t="shared" si="1"/>
        <v>0</v>
      </c>
    </row>
    <row r="48" spans="1:8" ht="15" customHeight="1" x14ac:dyDescent="0.3">
      <c r="A48" s="36" t="s">
        <v>20</v>
      </c>
      <c r="B48" s="5" t="s">
        <v>94</v>
      </c>
      <c r="C48" s="15" t="s">
        <v>96</v>
      </c>
      <c r="D48" s="23">
        <v>315</v>
      </c>
      <c r="E48" s="7">
        <f t="shared" si="2"/>
        <v>144.375</v>
      </c>
      <c r="G48" s="28"/>
      <c r="H48" s="7">
        <f t="shared" si="1"/>
        <v>0</v>
      </c>
    </row>
    <row r="49" spans="1:8" ht="15" customHeight="1" x14ac:dyDescent="0.3">
      <c r="A49" s="40" t="s">
        <v>21</v>
      </c>
      <c r="B49" s="5" t="s">
        <v>94</v>
      </c>
      <c r="C49" s="15" t="s">
        <v>97</v>
      </c>
      <c r="D49" s="23">
        <v>315</v>
      </c>
      <c r="E49" s="7">
        <f t="shared" si="2"/>
        <v>144.375</v>
      </c>
      <c r="G49" s="28"/>
      <c r="H49" s="7">
        <f t="shared" si="1"/>
        <v>0</v>
      </c>
    </row>
    <row r="50" spans="1:8" ht="15" customHeight="1" x14ac:dyDescent="0.3">
      <c r="A50" s="36" t="s">
        <v>22</v>
      </c>
      <c r="B50" s="5" t="s">
        <v>94</v>
      </c>
      <c r="C50" s="15" t="s">
        <v>98</v>
      </c>
      <c r="D50" s="23">
        <v>315</v>
      </c>
      <c r="E50" s="7">
        <f t="shared" si="2"/>
        <v>144.375</v>
      </c>
      <c r="G50" s="28"/>
      <c r="H50" s="7">
        <f t="shared" si="1"/>
        <v>0</v>
      </c>
    </row>
    <row r="51" spans="1:8" ht="15" customHeight="1" x14ac:dyDescent="0.3">
      <c r="A51" s="36" t="s">
        <v>23</v>
      </c>
      <c r="B51" s="5" t="s">
        <v>94</v>
      </c>
      <c r="C51" s="15" t="s">
        <v>87</v>
      </c>
      <c r="D51" s="23">
        <v>315</v>
      </c>
      <c r="E51" s="7">
        <f t="shared" si="2"/>
        <v>144.375</v>
      </c>
      <c r="G51" s="28"/>
      <c r="H51" s="7">
        <f t="shared" si="1"/>
        <v>0</v>
      </c>
    </row>
    <row r="52" spans="1:8" ht="15" customHeight="1" x14ac:dyDescent="0.3">
      <c r="A52" s="36" t="s">
        <v>24</v>
      </c>
      <c r="B52" s="5" t="s">
        <v>94</v>
      </c>
      <c r="C52" s="15" t="s">
        <v>99</v>
      </c>
      <c r="D52" s="23">
        <v>315</v>
      </c>
      <c r="E52" s="7">
        <f t="shared" si="2"/>
        <v>144.375</v>
      </c>
      <c r="G52" s="28"/>
      <c r="H52" s="7">
        <f t="shared" si="1"/>
        <v>0</v>
      </c>
    </row>
    <row r="53" spans="1:8" ht="15" customHeight="1" x14ac:dyDescent="0.3">
      <c r="A53" s="36" t="s">
        <v>25</v>
      </c>
      <c r="B53" s="5" t="s">
        <v>94</v>
      </c>
      <c r="C53" s="5" t="s">
        <v>100</v>
      </c>
      <c r="D53" s="23">
        <v>315</v>
      </c>
      <c r="E53" s="7">
        <f t="shared" si="2"/>
        <v>144.375</v>
      </c>
      <c r="G53" s="28"/>
      <c r="H53" s="7">
        <f t="shared" si="1"/>
        <v>0</v>
      </c>
    </row>
    <row r="54" spans="1:8" ht="15" customHeight="1" x14ac:dyDescent="0.3">
      <c r="A54" s="36" t="s">
        <v>5</v>
      </c>
      <c r="B54" s="5" t="s">
        <v>80</v>
      </c>
      <c r="C54" s="15" t="s">
        <v>85</v>
      </c>
      <c r="D54" s="23">
        <v>289</v>
      </c>
      <c r="E54" s="7">
        <f t="shared" si="2"/>
        <v>132.45833333333334</v>
      </c>
      <c r="G54" s="28"/>
      <c r="H54" s="7">
        <f t="shared" si="1"/>
        <v>0</v>
      </c>
    </row>
    <row r="55" spans="1:8" ht="15" customHeight="1" x14ac:dyDescent="0.3">
      <c r="A55" s="36" t="s">
        <v>6</v>
      </c>
      <c r="B55" s="5" t="s">
        <v>80</v>
      </c>
      <c r="C55" s="15" t="s">
        <v>86</v>
      </c>
      <c r="D55" s="23">
        <v>289</v>
      </c>
      <c r="E55" s="7">
        <f t="shared" si="2"/>
        <v>132.45833333333334</v>
      </c>
      <c r="G55" s="28"/>
      <c r="H55" s="7">
        <f t="shared" si="1"/>
        <v>0</v>
      </c>
    </row>
    <row r="56" spans="1:8" ht="15" customHeight="1" x14ac:dyDescent="0.3">
      <c r="A56" s="36" t="s">
        <v>7</v>
      </c>
      <c r="B56" s="5" t="s">
        <v>80</v>
      </c>
      <c r="C56" s="15" t="s">
        <v>87</v>
      </c>
      <c r="D56" s="23">
        <v>289</v>
      </c>
      <c r="E56" s="7">
        <f t="shared" si="2"/>
        <v>132.45833333333334</v>
      </c>
      <c r="G56" s="28"/>
      <c r="H56" s="7">
        <f t="shared" si="1"/>
        <v>0</v>
      </c>
    </row>
    <row r="57" spans="1:8" ht="15" customHeight="1" x14ac:dyDescent="0.3">
      <c r="A57" s="41" t="s">
        <v>15</v>
      </c>
      <c r="B57" s="5" t="s">
        <v>90</v>
      </c>
      <c r="C57" s="15" t="s">
        <v>89</v>
      </c>
      <c r="D57" s="23">
        <v>315</v>
      </c>
      <c r="E57" s="7">
        <f t="shared" si="2"/>
        <v>144.375</v>
      </c>
      <c r="G57" s="28"/>
      <c r="H57" s="7">
        <f t="shared" si="1"/>
        <v>0</v>
      </c>
    </row>
    <row r="58" spans="1:8" ht="15" customHeight="1" x14ac:dyDescent="0.3">
      <c r="A58" s="39" t="s">
        <v>14</v>
      </c>
      <c r="B58" s="5" t="s">
        <v>90</v>
      </c>
      <c r="C58" s="15" t="s">
        <v>88</v>
      </c>
      <c r="D58" s="23">
        <v>315</v>
      </c>
      <c r="E58" s="7">
        <f t="shared" si="2"/>
        <v>144.375</v>
      </c>
      <c r="G58" s="28"/>
      <c r="H58" s="7">
        <f t="shared" si="1"/>
        <v>0</v>
      </c>
    </row>
    <row r="59" spans="1:8" ht="15" customHeight="1" x14ac:dyDescent="0.3">
      <c r="A59" s="36" t="s">
        <v>27</v>
      </c>
      <c r="B59" s="5" t="s">
        <v>94</v>
      </c>
      <c r="C59" s="15" t="s">
        <v>89</v>
      </c>
      <c r="D59" s="23">
        <v>315</v>
      </c>
      <c r="E59" s="7">
        <f t="shared" si="2"/>
        <v>144.375</v>
      </c>
      <c r="G59" s="28"/>
      <c r="H59" s="7">
        <f t="shared" si="1"/>
        <v>0</v>
      </c>
    </row>
    <row r="60" spans="1:8" ht="15" customHeight="1" x14ac:dyDescent="0.3">
      <c r="A60" s="36" t="s">
        <v>26</v>
      </c>
      <c r="B60" s="5" t="s">
        <v>94</v>
      </c>
      <c r="C60" s="15" t="s">
        <v>88</v>
      </c>
      <c r="D60" s="23">
        <v>315</v>
      </c>
      <c r="E60" s="7">
        <f t="shared" si="2"/>
        <v>144.375</v>
      </c>
      <c r="G60" s="28"/>
      <c r="H60" s="7">
        <f t="shared" si="1"/>
        <v>0</v>
      </c>
    </row>
    <row r="61" spans="1:8" ht="15" customHeight="1" x14ac:dyDescent="0.3">
      <c r="A61" s="42" t="s">
        <v>8</v>
      </c>
      <c r="B61" s="5" t="s">
        <v>80</v>
      </c>
      <c r="C61" s="15" t="s">
        <v>88</v>
      </c>
      <c r="D61" s="23">
        <v>289</v>
      </c>
      <c r="E61" s="7">
        <f t="shared" si="2"/>
        <v>132.45833333333334</v>
      </c>
      <c r="G61" s="28"/>
      <c r="H61" s="7">
        <f t="shared" si="1"/>
        <v>0</v>
      </c>
    </row>
    <row r="62" spans="1:8" ht="15" customHeight="1" x14ac:dyDescent="0.3">
      <c r="A62" s="42" t="s">
        <v>9</v>
      </c>
      <c r="B62" s="5" t="s">
        <v>80</v>
      </c>
      <c r="C62" s="15" t="s">
        <v>89</v>
      </c>
      <c r="D62" s="23">
        <v>289</v>
      </c>
      <c r="E62" s="7">
        <f t="shared" si="2"/>
        <v>132.45833333333334</v>
      </c>
      <c r="G62" s="28"/>
      <c r="H62" s="7">
        <f t="shared" si="1"/>
        <v>0</v>
      </c>
    </row>
    <row r="63" spans="1:8" ht="15" customHeight="1" x14ac:dyDescent="0.3">
      <c r="A63" s="34" t="s">
        <v>37</v>
      </c>
      <c r="B63" s="5" t="s">
        <v>80</v>
      </c>
      <c r="C63" s="15" t="s">
        <v>115</v>
      </c>
      <c r="D63" s="23">
        <v>315</v>
      </c>
      <c r="E63" s="7">
        <f t="shared" si="2"/>
        <v>144.375</v>
      </c>
      <c r="G63" s="28"/>
      <c r="H63" s="7">
        <f t="shared" si="1"/>
        <v>0</v>
      </c>
    </row>
    <row r="64" spans="1:8" ht="15" customHeight="1" x14ac:dyDescent="0.3">
      <c r="A64" s="34" t="s">
        <v>38</v>
      </c>
      <c r="B64" s="5" t="s">
        <v>80</v>
      </c>
      <c r="C64" s="15" t="s">
        <v>116</v>
      </c>
      <c r="D64" s="23">
        <v>315</v>
      </c>
      <c r="E64" s="7">
        <f t="shared" si="2"/>
        <v>144.375</v>
      </c>
      <c r="G64" s="28"/>
      <c r="H64" s="7">
        <f t="shared" si="1"/>
        <v>0</v>
      </c>
    </row>
    <row r="65" spans="1:8" ht="15" customHeight="1" x14ac:dyDescent="0.3">
      <c r="A65" s="34" t="s">
        <v>39</v>
      </c>
      <c r="B65" s="5" t="s">
        <v>80</v>
      </c>
      <c r="C65" s="15" t="s">
        <v>117</v>
      </c>
      <c r="D65" s="23">
        <v>315</v>
      </c>
      <c r="E65" s="7">
        <f t="shared" si="2"/>
        <v>144.375</v>
      </c>
      <c r="G65" s="28"/>
      <c r="H65" s="7">
        <f t="shared" si="1"/>
        <v>0</v>
      </c>
    </row>
    <row r="66" spans="1:8" ht="15" customHeight="1" x14ac:dyDescent="0.3">
      <c r="A66" s="34" t="s">
        <v>61</v>
      </c>
      <c r="B66" s="5" t="s">
        <v>90</v>
      </c>
      <c r="C66" s="15" t="s">
        <v>124</v>
      </c>
      <c r="D66" s="23">
        <v>209</v>
      </c>
      <c r="E66" s="7">
        <f t="shared" si="2"/>
        <v>95.791666666666686</v>
      </c>
      <c r="G66" s="28"/>
      <c r="H66" s="7">
        <f t="shared" si="1"/>
        <v>0</v>
      </c>
    </row>
    <row r="67" spans="1:8" ht="15" customHeight="1" x14ac:dyDescent="0.3">
      <c r="A67" s="34" t="s">
        <v>65</v>
      </c>
      <c r="B67" s="5" t="s">
        <v>90</v>
      </c>
      <c r="C67" s="15" t="s">
        <v>129</v>
      </c>
      <c r="D67" s="23">
        <v>209</v>
      </c>
      <c r="E67" s="7">
        <f t="shared" si="2"/>
        <v>95.791666666666686</v>
      </c>
      <c r="G67" s="28"/>
      <c r="H67" s="7">
        <f t="shared" si="1"/>
        <v>0</v>
      </c>
    </row>
    <row r="68" spans="1:8" ht="15" customHeight="1" x14ac:dyDescent="0.3">
      <c r="A68" s="34" t="s">
        <v>64</v>
      </c>
      <c r="B68" s="5" t="s">
        <v>90</v>
      </c>
      <c r="C68" s="15" t="s">
        <v>127</v>
      </c>
      <c r="D68" s="23">
        <v>209</v>
      </c>
      <c r="E68" s="7">
        <f t="shared" si="2"/>
        <v>95.791666666666686</v>
      </c>
      <c r="G68" s="28"/>
      <c r="H68" s="7">
        <f t="shared" si="1"/>
        <v>0</v>
      </c>
    </row>
    <row r="69" spans="1:8" ht="15" customHeight="1" x14ac:dyDescent="0.3">
      <c r="A69" s="34" t="s">
        <v>62</v>
      </c>
      <c r="B69" s="5" t="s">
        <v>90</v>
      </c>
      <c r="C69" s="15" t="s">
        <v>125</v>
      </c>
      <c r="D69" s="23">
        <v>209</v>
      </c>
      <c r="E69" s="7">
        <f t="shared" si="2"/>
        <v>95.791666666666686</v>
      </c>
      <c r="G69" s="28"/>
      <c r="H69" s="7">
        <f t="shared" si="1"/>
        <v>0</v>
      </c>
    </row>
    <row r="70" spans="1:8" ht="15" customHeight="1" x14ac:dyDescent="0.3">
      <c r="A70" s="34" t="s">
        <v>63</v>
      </c>
      <c r="B70" s="5" t="s">
        <v>90</v>
      </c>
      <c r="C70" s="15" t="s">
        <v>126</v>
      </c>
      <c r="D70" s="23">
        <v>209</v>
      </c>
      <c r="E70" s="7">
        <f t="shared" si="2"/>
        <v>95.791666666666686</v>
      </c>
      <c r="G70" s="28"/>
      <c r="H70" s="7">
        <f t="shared" si="1"/>
        <v>0</v>
      </c>
    </row>
    <row r="71" spans="1:8" ht="15" customHeight="1" x14ac:dyDescent="0.3">
      <c r="A71" s="34" t="s">
        <v>53</v>
      </c>
      <c r="B71" s="5" t="s">
        <v>80</v>
      </c>
      <c r="C71" s="15" t="s">
        <v>124</v>
      </c>
      <c r="D71" s="23">
        <v>209</v>
      </c>
      <c r="E71" s="7">
        <f t="shared" si="2"/>
        <v>95.791666666666686</v>
      </c>
      <c r="G71" s="28"/>
      <c r="H71" s="7">
        <f t="shared" si="1"/>
        <v>0</v>
      </c>
    </row>
    <row r="72" spans="1:8" ht="15" customHeight="1" x14ac:dyDescent="0.3">
      <c r="A72" s="34" t="s">
        <v>58</v>
      </c>
      <c r="B72" s="5" t="s">
        <v>80</v>
      </c>
      <c r="C72" s="15" t="s">
        <v>129</v>
      </c>
      <c r="D72" s="23">
        <v>189</v>
      </c>
      <c r="E72" s="7">
        <f t="shared" si="2"/>
        <v>86.625</v>
      </c>
      <c r="G72" s="28"/>
      <c r="H72" s="7">
        <f t="shared" si="1"/>
        <v>0</v>
      </c>
    </row>
    <row r="73" spans="1:8" ht="15" customHeight="1" x14ac:dyDescent="0.3">
      <c r="A73" s="34" t="s">
        <v>56</v>
      </c>
      <c r="B73" s="5" t="s">
        <v>80</v>
      </c>
      <c r="C73" s="15" t="s">
        <v>127</v>
      </c>
      <c r="D73" s="23">
        <v>189</v>
      </c>
      <c r="E73" s="7">
        <f t="shared" ref="E73:E104" si="3">D73/1.2*0.55</f>
        <v>86.625</v>
      </c>
      <c r="G73" s="28"/>
      <c r="H73" s="7">
        <f t="shared" si="1"/>
        <v>0</v>
      </c>
    </row>
    <row r="74" spans="1:8" ht="15" customHeight="1" x14ac:dyDescent="0.3">
      <c r="A74" s="34" t="s">
        <v>54</v>
      </c>
      <c r="B74" s="5" t="s">
        <v>80</v>
      </c>
      <c r="C74" s="15" t="s">
        <v>125</v>
      </c>
      <c r="D74" s="23">
        <v>189</v>
      </c>
      <c r="E74" s="7">
        <f t="shared" si="3"/>
        <v>86.625</v>
      </c>
      <c r="G74" s="28"/>
      <c r="H74" s="7">
        <f t="shared" ref="H74:H101" si="4">G74*E74</f>
        <v>0</v>
      </c>
    </row>
    <row r="75" spans="1:8" ht="15" customHeight="1" x14ac:dyDescent="0.3">
      <c r="A75" s="34" t="s">
        <v>55</v>
      </c>
      <c r="B75" s="5" t="s">
        <v>80</v>
      </c>
      <c r="C75" s="15" t="s">
        <v>126</v>
      </c>
      <c r="D75" s="23">
        <v>189</v>
      </c>
      <c r="E75" s="7">
        <f t="shared" si="3"/>
        <v>86.625</v>
      </c>
      <c r="G75" s="28"/>
      <c r="H75" s="7">
        <f t="shared" si="4"/>
        <v>0</v>
      </c>
    </row>
    <row r="76" spans="1:8" ht="15" customHeight="1" x14ac:dyDescent="0.3">
      <c r="A76" s="34" t="s">
        <v>57</v>
      </c>
      <c r="B76" s="5" t="s">
        <v>80</v>
      </c>
      <c r="C76" s="15" t="s">
        <v>128</v>
      </c>
      <c r="D76" s="23">
        <v>189</v>
      </c>
      <c r="E76" s="7">
        <f t="shared" si="3"/>
        <v>86.625</v>
      </c>
      <c r="G76" s="28"/>
      <c r="H76" s="7">
        <f t="shared" si="4"/>
        <v>0</v>
      </c>
    </row>
    <row r="77" spans="1:8" ht="15" customHeight="1" x14ac:dyDescent="0.3">
      <c r="A77" s="34" t="s">
        <v>67</v>
      </c>
      <c r="B77" s="5" t="s">
        <v>101</v>
      </c>
      <c r="C77" s="15" t="s">
        <v>132</v>
      </c>
      <c r="D77" s="23">
        <v>610</v>
      </c>
      <c r="E77" s="7">
        <f t="shared" si="3"/>
        <v>279.58333333333337</v>
      </c>
      <c r="G77" s="28"/>
      <c r="H77" s="7">
        <f t="shared" si="4"/>
        <v>0</v>
      </c>
    </row>
    <row r="78" spans="1:8" ht="15" customHeight="1" x14ac:dyDescent="0.3">
      <c r="A78" s="34" t="s">
        <v>66</v>
      </c>
      <c r="B78" s="5" t="s">
        <v>130</v>
      </c>
      <c r="C78" s="15" t="s">
        <v>131</v>
      </c>
      <c r="D78" s="23">
        <v>610</v>
      </c>
      <c r="E78" s="7">
        <f t="shared" si="3"/>
        <v>279.58333333333337</v>
      </c>
      <c r="G78" s="28"/>
      <c r="H78" s="7">
        <f t="shared" si="4"/>
        <v>0</v>
      </c>
    </row>
    <row r="79" spans="1:8" ht="15" customHeight="1" x14ac:dyDescent="0.3">
      <c r="A79" s="34" t="s">
        <v>44</v>
      </c>
      <c r="B79" s="5" t="s">
        <v>80</v>
      </c>
      <c r="C79" s="15" t="s">
        <v>138</v>
      </c>
      <c r="D79" s="23">
        <v>385</v>
      </c>
      <c r="E79" s="7">
        <f t="shared" si="3"/>
        <v>176.45833333333337</v>
      </c>
      <c r="G79" s="28"/>
      <c r="H79" s="7">
        <f t="shared" si="4"/>
        <v>0</v>
      </c>
    </row>
    <row r="80" spans="1:8" ht="15" customHeight="1" x14ac:dyDescent="0.3">
      <c r="A80" s="34" t="s">
        <v>46</v>
      </c>
      <c r="B80" s="5" t="s">
        <v>80</v>
      </c>
      <c r="C80" s="15" t="s">
        <v>140</v>
      </c>
      <c r="D80" s="23">
        <v>385</v>
      </c>
      <c r="E80" s="7">
        <f t="shared" si="3"/>
        <v>176.45833333333337</v>
      </c>
      <c r="G80" s="28"/>
      <c r="H80" s="7">
        <f t="shared" si="4"/>
        <v>0</v>
      </c>
    </row>
    <row r="81" spans="1:8" ht="15" customHeight="1" x14ac:dyDescent="0.3">
      <c r="A81" s="34" t="s">
        <v>45</v>
      </c>
      <c r="B81" s="5" t="s">
        <v>80</v>
      </c>
      <c r="C81" s="15" t="s">
        <v>139</v>
      </c>
      <c r="D81" s="23">
        <v>385</v>
      </c>
      <c r="E81" s="7">
        <f t="shared" si="3"/>
        <v>176.45833333333337</v>
      </c>
      <c r="G81" s="28"/>
      <c r="H81" s="7">
        <f t="shared" si="4"/>
        <v>0</v>
      </c>
    </row>
    <row r="82" spans="1:8" ht="15" customHeight="1" x14ac:dyDescent="0.3">
      <c r="A82" s="36" t="s">
        <v>167</v>
      </c>
      <c r="B82" s="5" t="s">
        <v>90</v>
      </c>
      <c r="C82" s="5" t="s">
        <v>168</v>
      </c>
      <c r="D82" s="23">
        <v>400</v>
      </c>
      <c r="E82" s="7">
        <f t="shared" si="3"/>
        <v>183.33333333333337</v>
      </c>
      <c r="G82" s="28"/>
      <c r="H82" s="7">
        <f t="shared" si="4"/>
        <v>0</v>
      </c>
    </row>
    <row r="83" spans="1:8" ht="15" customHeight="1" x14ac:dyDescent="0.3">
      <c r="A83" s="43" t="s">
        <v>49</v>
      </c>
      <c r="B83" s="5" t="s">
        <v>90</v>
      </c>
      <c r="C83" s="15" t="s">
        <v>106</v>
      </c>
      <c r="D83" s="23">
        <v>199</v>
      </c>
      <c r="E83" s="7">
        <f t="shared" si="3"/>
        <v>91.208333333333343</v>
      </c>
      <c r="G83" s="28"/>
      <c r="H83" s="7">
        <f t="shared" si="4"/>
        <v>0</v>
      </c>
    </row>
    <row r="84" spans="1:8" ht="15" customHeight="1" x14ac:dyDescent="0.3">
      <c r="A84" s="43" t="s">
        <v>50</v>
      </c>
      <c r="B84" s="5" t="s">
        <v>90</v>
      </c>
      <c r="C84" s="15" t="s">
        <v>107</v>
      </c>
      <c r="D84" s="23">
        <v>199</v>
      </c>
      <c r="E84" s="7">
        <f t="shared" si="3"/>
        <v>91.208333333333343</v>
      </c>
      <c r="G84" s="28"/>
      <c r="H84" s="7">
        <f t="shared" si="4"/>
        <v>0</v>
      </c>
    </row>
    <row r="85" spans="1:8" ht="15" customHeight="1" x14ac:dyDescent="0.3">
      <c r="A85" s="43" t="s">
        <v>47</v>
      </c>
      <c r="B85" s="5" t="s">
        <v>80</v>
      </c>
      <c r="C85" s="15" t="s">
        <v>104</v>
      </c>
      <c r="D85" s="23">
        <v>180</v>
      </c>
      <c r="E85" s="7">
        <f t="shared" si="3"/>
        <v>82.5</v>
      </c>
      <c r="G85" s="28"/>
      <c r="H85" s="7">
        <f t="shared" si="4"/>
        <v>0</v>
      </c>
    </row>
    <row r="86" spans="1:8" ht="15" customHeight="1" x14ac:dyDescent="0.3">
      <c r="A86" s="43" t="s">
        <v>48</v>
      </c>
      <c r="B86" s="5" t="s">
        <v>80</v>
      </c>
      <c r="C86" s="15" t="s">
        <v>105</v>
      </c>
      <c r="D86" s="23">
        <v>180</v>
      </c>
      <c r="E86" s="7">
        <f t="shared" si="3"/>
        <v>82.5</v>
      </c>
      <c r="G86" s="28"/>
      <c r="H86" s="7">
        <f t="shared" si="4"/>
        <v>0</v>
      </c>
    </row>
    <row r="87" spans="1:8" ht="15" customHeight="1" x14ac:dyDescent="0.3">
      <c r="A87" s="36" t="s">
        <v>141</v>
      </c>
      <c r="B87" s="5" t="s">
        <v>80</v>
      </c>
      <c r="C87" s="15" t="s">
        <v>143</v>
      </c>
      <c r="D87" s="23">
        <v>289</v>
      </c>
      <c r="E87" s="7">
        <f t="shared" si="3"/>
        <v>132.45833333333334</v>
      </c>
      <c r="G87" s="28"/>
      <c r="H87" s="7">
        <f t="shared" si="4"/>
        <v>0</v>
      </c>
    </row>
    <row r="88" spans="1:8" ht="15" customHeight="1" x14ac:dyDescent="0.3">
      <c r="A88" s="42" t="s">
        <v>142</v>
      </c>
      <c r="B88" s="5" t="s">
        <v>80</v>
      </c>
      <c r="C88" s="15" t="s">
        <v>144</v>
      </c>
      <c r="D88" s="23">
        <v>289</v>
      </c>
      <c r="E88" s="7">
        <f t="shared" si="3"/>
        <v>132.45833333333334</v>
      </c>
      <c r="G88" s="28"/>
      <c r="H88" s="7">
        <f t="shared" si="4"/>
        <v>0</v>
      </c>
    </row>
    <row r="89" spans="1:8" ht="15" customHeight="1" x14ac:dyDescent="0.3">
      <c r="A89" s="43" t="s">
        <v>169</v>
      </c>
      <c r="B89" s="5" t="s">
        <v>80</v>
      </c>
      <c r="C89" s="15" t="s">
        <v>171</v>
      </c>
      <c r="D89" s="23">
        <v>395</v>
      </c>
      <c r="E89" s="7">
        <f t="shared" si="3"/>
        <v>181.04166666666669</v>
      </c>
      <c r="G89" s="28"/>
      <c r="H89" s="7">
        <f t="shared" si="4"/>
        <v>0</v>
      </c>
    </row>
    <row r="90" spans="1:8" ht="15" customHeight="1" x14ac:dyDescent="0.3">
      <c r="A90" s="34" t="s">
        <v>170</v>
      </c>
      <c r="B90" s="5" t="s">
        <v>80</v>
      </c>
      <c r="C90" s="15" t="s">
        <v>172</v>
      </c>
      <c r="D90" s="23">
        <v>395</v>
      </c>
      <c r="E90" s="7">
        <f t="shared" si="3"/>
        <v>181.04166666666669</v>
      </c>
      <c r="G90" s="28"/>
      <c r="H90" s="7">
        <f t="shared" si="4"/>
        <v>0</v>
      </c>
    </row>
    <row r="91" spans="1:8" ht="15" customHeight="1" x14ac:dyDescent="0.3">
      <c r="A91" s="36" t="s">
        <v>148</v>
      </c>
      <c r="B91" s="5" t="s">
        <v>80</v>
      </c>
      <c r="C91" s="15" t="s">
        <v>151</v>
      </c>
      <c r="D91" s="23">
        <v>349</v>
      </c>
      <c r="E91" s="7">
        <f t="shared" si="3"/>
        <v>159.95833333333337</v>
      </c>
      <c r="G91" s="28"/>
      <c r="H91" s="7">
        <f t="shared" si="4"/>
        <v>0</v>
      </c>
    </row>
    <row r="92" spans="1:8" ht="15" customHeight="1" x14ac:dyDescent="0.3">
      <c r="A92" s="42" t="s">
        <v>147</v>
      </c>
      <c r="B92" s="5" t="s">
        <v>80</v>
      </c>
      <c r="C92" s="15" t="s">
        <v>149</v>
      </c>
      <c r="D92" s="23">
        <v>349</v>
      </c>
      <c r="E92" s="7">
        <f t="shared" si="3"/>
        <v>159.95833333333337</v>
      </c>
      <c r="G92" s="28"/>
      <c r="H92" s="7">
        <f t="shared" si="4"/>
        <v>0</v>
      </c>
    </row>
    <row r="93" spans="1:8" ht="15" customHeight="1" x14ac:dyDescent="0.3">
      <c r="A93" s="35" t="s">
        <v>153</v>
      </c>
      <c r="B93" s="5" t="s">
        <v>80</v>
      </c>
      <c r="C93" s="15" t="s">
        <v>155</v>
      </c>
      <c r="D93" s="23">
        <v>365</v>
      </c>
      <c r="E93" s="7">
        <f t="shared" si="3"/>
        <v>167.29166666666669</v>
      </c>
      <c r="G93" s="28"/>
      <c r="H93" s="7">
        <f t="shared" si="4"/>
        <v>0</v>
      </c>
    </row>
    <row r="94" spans="1:8" ht="15" customHeight="1" x14ac:dyDescent="0.3">
      <c r="A94" s="39" t="s">
        <v>150</v>
      </c>
      <c r="B94" s="5" t="s">
        <v>80</v>
      </c>
      <c r="C94" s="15" t="s">
        <v>152</v>
      </c>
      <c r="D94" s="23">
        <v>349</v>
      </c>
      <c r="E94" s="7">
        <f t="shared" si="3"/>
        <v>159.95833333333337</v>
      </c>
      <c r="G94" s="28"/>
      <c r="H94" s="7">
        <f t="shared" si="4"/>
        <v>0</v>
      </c>
    </row>
    <row r="95" spans="1:8" ht="15" customHeight="1" x14ac:dyDescent="0.3">
      <c r="A95" s="35" t="s">
        <v>154</v>
      </c>
      <c r="B95" s="5" t="s">
        <v>80</v>
      </c>
      <c r="C95" s="15" t="s">
        <v>156</v>
      </c>
      <c r="D95" s="23">
        <v>365</v>
      </c>
      <c r="E95" s="7">
        <f t="shared" si="3"/>
        <v>167.29166666666669</v>
      </c>
      <c r="G95" s="28"/>
      <c r="H95" s="7">
        <f t="shared" si="4"/>
        <v>0</v>
      </c>
    </row>
    <row r="96" spans="1:8" ht="15" customHeight="1" x14ac:dyDescent="0.3">
      <c r="A96" s="34" t="s">
        <v>173</v>
      </c>
      <c r="B96" s="5" t="s">
        <v>80</v>
      </c>
      <c r="C96" s="15" t="s">
        <v>179</v>
      </c>
      <c r="D96" s="23">
        <v>435</v>
      </c>
      <c r="E96" s="7">
        <f t="shared" si="3"/>
        <v>199.37500000000003</v>
      </c>
      <c r="G96" s="28"/>
      <c r="H96" s="7">
        <f t="shared" si="4"/>
        <v>0</v>
      </c>
    </row>
    <row r="97" spans="1:8" ht="15" customHeight="1" x14ac:dyDescent="0.3">
      <c r="A97" s="34" t="s">
        <v>174</v>
      </c>
      <c r="B97" s="5" t="s">
        <v>80</v>
      </c>
      <c r="C97" s="15" t="s">
        <v>180</v>
      </c>
      <c r="D97" s="23">
        <v>435</v>
      </c>
      <c r="E97" s="7">
        <f t="shared" si="3"/>
        <v>199.37500000000003</v>
      </c>
      <c r="G97" s="28"/>
      <c r="H97" s="7">
        <f t="shared" si="4"/>
        <v>0</v>
      </c>
    </row>
    <row r="98" spans="1:8" ht="15" customHeight="1" x14ac:dyDescent="0.3">
      <c r="A98" s="34" t="s">
        <v>178</v>
      </c>
      <c r="B98" s="5" t="s">
        <v>90</v>
      </c>
      <c r="C98" s="15" t="s">
        <v>184</v>
      </c>
      <c r="D98" s="23">
        <v>350</v>
      </c>
      <c r="E98" s="7">
        <f t="shared" si="3"/>
        <v>160.41666666666669</v>
      </c>
      <c r="G98" s="28"/>
      <c r="H98" s="7">
        <f t="shared" si="4"/>
        <v>0</v>
      </c>
    </row>
    <row r="99" spans="1:8" ht="15" customHeight="1" x14ac:dyDescent="0.3">
      <c r="A99" s="34" t="s">
        <v>176</v>
      </c>
      <c r="B99" s="5" t="s">
        <v>90</v>
      </c>
      <c r="C99" s="15" t="s">
        <v>182</v>
      </c>
      <c r="D99" s="23">
        <v>395</v>
      </c>
      <c r="E99" s="7">
        <f t="shared" si="3"/>
        <v>181.04166666666669</v>
      </c>
      <c r="G99" s="28"/>
      <c r="H99" s="7">
        <f t="shared" si="4"/>
        <v>0</v>
      </c>
    </row>
    <row r="100" spans="1:8" ht="15" customHeight="1" x14ac:dyDescent="0.3">
      <c r="A100" s="16" t="s">
        <v>175</v>
      </c>
      <c r="B100" s="5" t="s">
        <v>80</v>
      </c>
      <c r="C100" s="15" t="s">
        <v>181</v>
      </c>
      <c r="D100" s="23">
        <v>365</v>
      </c>
      <c r="E100" s="7">
        <f t="shared" si="3"/>
        <v>167.29166666666669</v>
      </c>
      <c r="G100" s="28"/>
      <c r="H100" s="7">
        <f t="shared" si="4"/>
        <v>0</v>
      </c>
    </row>
    <row r="101" spans="1:8" ht="15" customHeight="1" thickBot="1" x14ac:dyDescent="0.35">
      <c r="A101" s="24" t="s">
        <v>177</v>
      </c>
      <c r="B101" s="10" t="s">
        <v>80</v>
      </c>
      <c r="C101" s="25" t="s">
        <v>183</v>
      </c>
      <c r="D101" s="26">
        <v>325</v>
      </c>
      <c r="E101" s="11">
        <f t="shared" si="3"/>
        <v>148.95833333333337</v>
      </c>
      <c r="G101" s="29"/>
      <c r="H101" s="11">
        <f t="shared" si="4"/>
        <v>0</v>
      </c>
    </row>
    <row r="102" spans="1:8" x14ac:dyDescent="0.3">
      <c r="G102" s="20">
        <f>SUM(G9:G101)</f>
        <v>0</v>
      </c>
      <c r="H102" s="27">
        <f>SUM(H9:H101)</f>
        <v>0</v>
      </c>
    </row>
  </sheetData>
  <autoFilter ref="A8:E101" xr:uid="{6B8E657C-D6C2-4C5B-94C3-0D82CA996789}">
    <sortState xmlns:xlrd2="http://schemas.microsoft.com/office/spreadsheetml/2017/richdata2" ref="A9:E101">
      <sortCondition ref="A8:A101"/>
    </sortState>
  </autoFilter>
  <mergeCells count="6">
    <mergeCell ref="A6:E6"/>
    <mergeCell ref="A1:E1"/>
    <mergeCell ref="A2:E2"/>
    <mergeCell ref="A3:E3"/>
    <mergeCell ref="A4:E4"/>
    <mergeCell ref="A5:E5"/>
  </mergeCells>
  <phoneticPr fontId="5" type="noConversion"/>
  <pageMargins left="0.7" right="0.7" top="0.75" bottom="0.75" header="0.3" footer="0.3"/>
  <pageSetup paperSize="9" scale="4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List</vt:lpstr>
      <vt:lpstr>'Price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Dunk Harris</dc:creator>
  <cp:keywords/>
  <dc:description/>
  <cp:lastModifiedBy>Duncan Harris</cp:lastModifiedBy>
  <cp:revision/>
  <dcterms:created xsi:type="dcterms:W3CDTF">2020-02-24T08:53:44Z</dcterms:created>
  <dcterms:modified xsi:type="dcterms:W3CDTF">2025-06-17T16:51:25Z</dcterms:modified>
  <cp:category/>
  <cp:contentStatus/>
</cp:coreProperties>
</file>